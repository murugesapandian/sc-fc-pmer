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urugesapandianthangaraj/SC-FC-PMER/"/>
    </mc:Choice>
  </mc:AlternateContent>
  <xr:revisionPtr revIDLastSave="0" documentId="13_ncr:1_{E06FEFDF-AD18-3B4F-A9E5-498E7E727D79}" xr6:coauthVersionLast="47" xr6:coauthVersionMax="47" xr10:uidLastSave="{00000000-0000-0000-0000-000000000000}"/>
  <bookViews>
    <workbookView xWindow="0" yWindow="660" windowWidth="34560" windowHeight="20100" tabRatio="500" activeTab="1" xr2:uid="{00000000-000D-0000-FFFF-FFFF00000000}"/>
  </bookViews>
  <sheets>
    <sheet name="Read Me" sheetId="1" r:id="rId1"/>
    <sheet name="Dashboard" sheetId="2" r:id="rId2"/>
    <sheet name="Stakeholders" sheetId="3" r:id="rId3"/>
    <sheet name="Objectives" sheetId="4" r:id="rId4"/>
    <sheet name="Master Plan" sheetId="5" r:id="rId5"/>
    <sheet name="RACI Matrix" sheetId="6" r:id="rId6"/>
    <sheet name="Gate Checklists" sheetId="7" r:id="rId7"/>
    <sheet name="RAID Log" sheetId="8" r:id="rId8"/>
    <sheet name="Action Log" sheetId="9" r:id="rId9"/>
  </sheets>
  <definedNames>
    <definedName name="_xlnm._FilterDatabase" localSheetId="8" hidden="1">'Action Log'!$A$4:$J$7</definedName>
    <definedName name="_xlnm._FilterDatabase" localSheetId="4" hidden="1">'Master Plan'!$A$4:$W$85</definedName>
    <definedName name="_xlnm._FilterDatabase" localSheetId="7" hidden="1">'RAID Log'!$A$4:$Q$11</definedName>
    <definedName name="_xlnm._FilterDatabase" localSheetId="2" hidden="1">Stakeholders!$A$4:$H$24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9" l="1"/>
  <c r="H6" i="9"/>
  <c r="H5" i="9"/>
  <c r="O11" i="8"/>
  <c r="J11" i="8"/>
  <c r="K11" i="8" s="1"/>
  <c r="O10" i="8"/>
  <c r="J10" i="8"/>
  <c r="K10" i="8" s="1"/>
  <c r="O9" i="8"/>
  <c r="J9" i="8"/>
  <c r="K9" i="8" s="1"/>
  <c r="O8" i="8"/>
  <c r="J8" i="8"/>
  <c r="K8" i="8" s="1"/>
  <c r="O7" i="8"/>
  <c r="J7" i="8"/>
  <c r="K7" i="8" s="1"/>
  <c r="O6" i="8"/>
  <c r="J6" i="8"/>
  <c r="K6" i="8" s="1"/>
  <c r="O5" i="8"/>
  <c r="J5" i="8"/>
  <c r="K5" i="8" s="1"/>
  <c r="I11" i="2" s="1"/>
  <c r="G67" i="7"/>
  <c r="F67" i="7"/>
  <c r="G58" i="7"/>
  <c r="F58" i="7"/>
  <c r="G51" i="7"/>
  <c r="F51" i="7"/>
  <c r="G42" i="7"/>
  <c r="F42" i="7"/>
  <c r="G34" i="7"/>
  <c r="F34" i="7"/>
  <c r="G24" i="7"/>
  <c r="F24" i="7"/>
  <c r="G13" i="7"/>
  <c r="F13" i="7"/>
  <c r="G5" i="7"/>
  <c r="F5" i="7"/>
  <c r="J15" i="2" s="1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85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84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83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82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81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80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79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78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75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73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72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71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70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63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AB36" i="6"/>
  <c r="AA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Z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T85" i="5"/>
  <c r="U85" i="5" s="1"/>
  <c r="M85" i="5"/>
  <c r="T84" i="5"/>
  <c r="U84" i="5" s="1"/>
  <c r="M84" i="5"/>
  <c r="T83" i="5"/>
  <c r="U83" i="5" s="1"/>
  <c r="M83" i="5"/>
  <c r="T82" i="5"/>
  <c r="U82" i="5" s="1"/>
  <c r="M82" i="5"/>
  <c r="T81" i="5"/>
  <c r="U81" i="5" s="1"/>
  <c r="M81" i="5"/>
  <c r="T80" i="5"/>
  <c r="M80" i="5"/>
  <c r="T79" i="5"/>
  <c r="M79" i="5"/>
  <c r="T78" i="5"/>
  <c r="U78" i="5" s="1"/>
  <c r="M78" i="5"/>
  <c r="T77" i="5"/>
  <c r="U77" i="5" s="1"/>
  <c r="M77" i="5"/>
  <c r="T76" i="5"/>
  <c r="U76" i="5" s="1"/>
  <c r="M76" i="5"/>
  <c r="T75" i="5"/>
  <c r="U75" i="5" s="1"/>
  <c r="M75" i="5"/>
  <c r="T74" i="5"/>
  <c r="M74" i="5"/>
  <c r="T73" i="5"/>
  <c r="U73" i="5" s="1"/>
  <c r="M73" i="5"/>
  <c r="T72" i="5"/>
  <c r="U72" i="5" s="1"/>
  <c r="M72" i="5"/>
  <c r="T71" i="5"/>
  <c r="U71" i="5" s="1"/>
  <c r="M71" i="5"/>
  <c r="T70" i="5"/>
  <c r="M70" i="5"/>
  <c r="T69" i="5"/>
  <c r="U69" i="5" s="1"/>
  <c r="M69" i="5"/>
  <c r="T68" i="5"/>
  <c r="U68" i="5" s="1"/>
  <c r="M68" i="5"/>
  <c r="T67" i="5"/>
  <c r="U67" i="5" s="1"/>
  <c r="M67" i="5"/>
  <c r="T66" i="5"/>
  <c r="U66" i="5" s="1"/>
  <c r="M66" i="5"/>
  <c r="T65" i="5"/>
  <c r="U65" i="5" s="1"/>
  <c r="M65" i="5"/>
  <c r="T64" i="5"/>
  <c r="U64" i="5" s="1"/>
  <c r="M64" i="5"/>
  <c r="T63" i="5"/>
  <c r="M63" i="5"/>
  <c r="T62" i="5"/>
  <c r="U62" i="5" s="1"/>
  <c r="M62" i="5"/>
  <c r="T61" i="5"/>
  <c r="M61" i="5"/>
  <c r="T60" i="5"/>
  <c r="U60" i="5" s="1"/>
  <c r="M60" i="5"/>
  <c r="T59" i="5"/>
  <c r="U59" i="5" s="1"/>
  <c r="M59" i="5"/>
  <c r="T58" i="5"/>
  <c r="M58" i="5"/>
  <c r="T57" i="5"/>
  <c r="U57" i="5" s="1"/>
  <c r="M57" i="5"/>
  <c r="T56" i="5"/>
  <c r="M56" i="5"/>
  <c r="T55" i="5"/>
  <c r="U55" i="5" s="1"/>
  <c r="M55" i="5"/>
  <c r="T54" i="5"/>
  <c r="M54" i="5"/>
  <c r="T53" i="5"/>
  <c r="M53" i="5"/>
  <c r="T52" i="5"/>
  <c r="U52" i="5" s="1"/>
  <c r="M52" i="5"/>
  <c r="T51" i="5"/>
  <c r="U51" i="5" s="1"/>
  <c r="M51" i="5"/>
  <c r="T50" i="5"/>
  <c r="U50" i="5" s="1"/>
  <c r="M50" i="5"/>
  <c r="T49" i="5"/>
  <c r="U49" i="5" s="1"/>
  <c r="M49" i="5"/>
  <c r="T48" i="5"/>
  <c r="E61" i="2" s="1"/>
  <c r="M48" i="5"/>
  <c r="T47" i="5"/>
  <c r="U47" i="5" s="1"/>
  <c r="M47" i="5"/>
  <c r="T46" i="5"/>
  <c r="U46" i="5" s="1"/>
  <c r="M46" i="5"/>
  <c r="T45" i="5"/>
  <c r="M45" i="5"/>
  <c r="T44" i="5"/>
  <c r="U44" i="5" s="1"/>
  <c r="M44" i="5"/>
  <c r="T43" i="5"/>
  <c r="M43" i="5"/>
  <c r="T42" i="5"/>
  <c r="M42" i="5"/>
  <c r="T41" i="5"/>
  <c r="U41" i="5" s="1"/>
  <c r="M41" i="5"/>
  <c r="T40" i="5"/>
  <c r="U40" i="5" s="1"/>
  <c r="M40" i="5"/>
  <c r="T39" i="5"/>
  <c r="U39" i="5" s="1"/>
  <c r="M39" i="5"/>
  <c r="T38" i="5"/>
  <c r="U38" i="5" s="1"/>
  <c r="M38" i="5"/>
  <c r="T37" i="5"/>
  <c r="U37" i="5" s="1"/>
  <c r="M37" i="5"/>
  <c r="T36" i="5"/>
  <c r="U36" i="5" s="1"/>
  <c r="M36" i="5"/>
  <c r="T35" i="5"/>
  <c r="M35" i="5"/>
  <c r="T34" i="5"/>
  <c r="U34" i="5" s="1"/>
  <c r="M34" i="5"/>
  <c r="T33" i="5"/>
  <c r="U33" i="5" s="1"/>
  <c r="M33" i="5"/>
  <c r="T32" i="5"/>
  <c r="U32" i="5" s="1"/>
  <c r="M32" i="5"/>
  <c r="T31" i="5"/>
  <c r="U31" i="5" s="1"/>
  <c r="M31" i="5"/>
  <c r="T30" i="5"/>
  <c r="U30" i="5" s="1"/>
  <c r="M30" i="5"/>
  <c r="T29" i="5"/>
  <c r="U29" i="5" s="1"/>
  <c r="M29" i="5"/>
  <c r="T28" i="5"/>
  <c r="M28" i="5"/>
  <c r="T27" i="5"/>
  <c r="U27" i="5" s="1"/>
  <c r="M27" i="5"/>
  <c r="T26" i="5"/>
  <c r="M26" i="5"/>
  <c r="T25" i="5"/>
  <c r="M25" i="5"/>
  <c r="T24" i="5"/>
  <c r="M24" i="5"/>
  <c r="T23" i="5"/>
  <c r="M23" i="5"/>
  <c r="T22" i="5"/>
  <c r="M22" i="5"/>
  <c r="T21" i="5"/>
  <c r="U21" i="5" s="1"/>
  <c r="M21" i="5"/>
  <c r="T20" i="5"/>
  <c r="M20" i="5"/>
  <c r="T19" i="5"/>
  <c r="M19" i="5"/>
  <c r="T18" i="5"/>
  <c r="U18" i="5" s="1"/>
  <c r="M18" i="5"/>
  <c r="T17" i="5"/>
  <c r="M17" i="5"/>
  <c r="T16" i="5"/>
  <c r="M16" i="5"/>
  <c r="T15" i="5"/>
  <c r="U15" i="5" s="1"/>
  <c r="M15" i="5"/>
  <c r="T14" i="5"/>
  <c r="M14" i="5"/>
  <c r="T13" i="5"/>
  <c r="U13" i="5" s="1"/>
  <c r="M13" i="5"/>
  <c r="T12" i="5"/>
  <c r="M12" i="5"/>
  <c r="T11" i="5"/>
  <c r="U11" i="5" s="1"/>
  <c r="M11" i="5"/>
  <c r="T10" i="5"/>
  <c r="M10" i="5"/>
  <c r="U9" i="5"/>
  <c r="T9" i="5"/>
  <c r="M9" i="5"/>
  <c r="U8" i="5"/>
  <c r="T8" i="5"/>
  <c r="M8" i="5"/>
  <c r="U7" i="5"/>
  <c r="T7" i="5"/>
  <c r="M7" i="5"/>
  <c r="U6" i="5"/>
  <c r="T6" i="5"/>
  <c r="E47" i="2" s="1"/>
  <c r="M6" i="5"/>
  <c r="U5" i="5"/>
  <c r="T5" i="5"/>
  <c r="M5" i="5"/>
  <c r="E12" i="4"/>
  <c r="E11" i="4"/>
  <c r="F10" i="4"/>
  <c r="E10" i="4"/>
  <c r="F9" i="4"/>
  <c r="E9" i="4"/>
  <c r="E8" i="4"/>
  <c r="F7" i="4"/>
  <c r="E7" i="4"/>
  <c r="E6" i="4"/>
  <c r="F5" i="4"/>
  <c r="E5" i="4"/>
  <c r="G66" i="2"/>
  <c r="F66" i="2"/>
  <c r="E66" i="2"/>
  <c r="C66" i="2"/>
  <c r="B66" i="2"/>
  <c r="D66" i="2" s="1"/>
  <c r="A66" i="2"/>
  <c r="G65" i="2"/>
  <c r="F65" i="2"/>
  <c r="C65" i="2"/>
  <c r="B65" i="2"/>
  <c r="D65" i="2" s="1"/>
  <c r="A65" i="2"/>
  <c r="G64" i="2"/>
  <c r="F64" i="2"/>
  <c r="C64" i="2"/>
  <c r="B64" i="2"/>
  <c r="D64" i="2" s="1"/>
  <c r="A64" i="2"/>
  <c r="G63" i="2"/>
  <c r="F63" i="2"/>
  <c r="C63" i="2"/>
  <c r="B63" i="2"/>
  <c r="D63" i="2" s="1"/>
  <c r="A63" i="2"/>
  <c r="G62" i="2"/>
  <c r="F62" i="2"/>
  <c r="C62" i="2"/>
  <c r="B62" i="2"/>
  <c r="D62" i="2" s="1"/>
  <c r="A62" i="2"/>
  <c r="G61" i="2"/>
  <c r="F61" i="2"/>
  <c r="C61" i="2"/>
  <c r="B61" i="2"/>
  <c r="D61" i="2" s="1"/>
  <c r="A61" i="2"/>
  <c r="G60" i="2"/>
  <c r="F60" i="2"/>
  <c r="C60" i="2"/>
  <c r="B60" i="2"/>
  <c r="D60" i="2" s="1"/>
  <c r="A60" i="2"/>
  <c r="G59" i="2"/>
  <c r="F59" i="2"/>
  <c r="C59" i="2"/>
  <c r="B59" i="2"/>
  <c r="D59" i="2" s="1"/>
  <c r="A59" i="2"/>
  <c r="G58" i="2"/>
  <c r="F58" i="2"/>
  <c r="C58" i="2"/>
  <c r="B58" i="2"/>
  <c r="D58" i="2" s="1"/>
  <c r="A58" i="2"/>
  <c r="G57" i="2"/>
  <c r="F57" i="2"/>
  <c r="C57" i="2"/>
  <c r="B57" i="2"/>
  <c r="D57" i="2" s="1"/>
  <c r="A57" i="2"/>
  <c r="G56" i="2"/>
  <c r="F56" i="2"/>
  <c r="C56" i="2"/>
  <c r="B56" i="2"/>
  <c r="D56" i="2" s="1"/>
  <c r="A56" i="2"/>
  <c r="G55" i="2"/>
  <c r="F55" i="2"/>
  <c r="C55" i="2"/>
  <c r="B55" i="2"/>
  <c r="D55" i="2" s="1"/>
  <c r="A55" i="2"/>
  <c r="G54" i="2"/>
  <c r="F54" i="2"/>
  <c r="C54" i="2"/>
  <c r="B54" i="2"/>
  <c r="D54" i="2" s="1"/>
  <c r="A54" i="2"/>
  <c r="G53" i="2"/>
  <c r="F53" i="2"/>
  <c r="C53" i="2"/>
  <c r="B53" i="2"/>
  <c r="D53" i="2" s="1"/>
  <c r="A53" i="2"/>
  <c r="G52" i="2"/>
  <c r="F52" i="2"/>
  <c r="C52" i="2"/>
  <c r="B52" i="2"/>
  <c r="D52" i="2" s="1"/>
  <c r="A52" i="2"/>
  <c r="G51" i="2"/>
  <c r="F51" i="2"/>
  <c r="C51" i="2"/>
  <c r="B51" i="2"/>
  <c r="D51" i="2" s="1"/>
  <c r="A51" i="2"/>
  <c r="G50" i="2"/>
  <c r="F50" i="2"/>
  <c r="C50" i="2"/>
  <c r="B50" i="2"/>
  <c r="D50" i="2" s="1"/>
  <c r="A50" i="2"/>
  <c r="G49" i="2"/>
  <c r="F49" i="2"/>
  <c r="C49" i="2"/>
  <c r="B49" i="2"/>
  <c r="D49" i="2" s="1"/>
  <c r="A49" i="2"/>
  <c r="G48" i="2"/>
  <c r="F48" i="2"/>
  <c r="C48" i="2"/>
  <c r="B48" i="2"/>
  <c r="D48" i="2" s="1"/>
  <c r="A48" i="2"/>
  <c r="G47" i="2"/>
  <c r="F47" i="2"/>
  <c r="C47" i="2"/>
  <c r="B47" i="2"/>
  <c r="D47" i="2" s="1"/>
  <c r="A47" i="2"/>
  <c r="F42" i="2"/>
  <c r="E42" i="2"/>
  <c r="B42" i="2"/>
  <c r="D42" i="2" s="1"/>
  <c r="F41" i="2"/>
  <c r="E41" i="2"/>
  <c r="C41" i="2"/>
  <c r="B41" i="2"/>
  <c r="D41" i="2" s="1"/>
  <c r="F40" i="2"/>
  <c r="E40" i="2"/>
  <c r="C40" i="2"/>
  <c r="B40" i="2"/>
  <c r="D40" i="2" s="1"/>
  <c r="F39" i="2"/>
  <c r="E39" i="2"/>
  <c r="C39" i="2"/>
  <c r="B39" i="2"/>
  <c r="D39" i="2" s="1"/>
  <c r="G38" i="2"/>
  <c r="F38" i="2"/>
  <c r="E38" i="2"/>
  <c r="C38" i="2"/>
  <c r="B38" i="2"/>
  <c r="D38" i="2" s="1"/>
  <c r="F37" i="2"/>
  <c r="E37" i="2"/>
  <c r="C37" i="2"/>
  <c r="B37" i="2"/>
  <c r="D37" i="2" s="1"/>
  <c r="F36" i="2"/>
  <c r="E36" i="2"/>
  <c r="C36" i="2"/>
  <c r="B36" i="2"/>
  <c r="D36" i="2" s="1"/>
  <c r="F35" i="2"/>
  <c r="E35" i="2"/>
  <c r="B35" i="2"/>
  <c r="D35" i="2" s="1"/>
  <c r="F34" i="2"/>
  <c r="E34" i="2"/>
  <c r="C34" i="2"/>
  <c r="B34" i="2"/>
  <c r="D34" i="2" s="1"/>
  <c r="F33" i="2"/>
  <c r="E33" i="2"/>
  <c r="C33" i="2"/>
  <c r="B33" i="2"/>
  <c r="D33" i="2" s="1"/>
  <c r="F32" i="2"/>
  <c r="E32" i="2"/>
  <c r="C32" i="2"/>
  <c r="B32" i="2"/>
  <c r="D32" i="2" s="1"/>
  <c r="F31" i="2"/>
  <c r="E31" i="2"/>
  <c r="C31" i="2"/>
  <c r="B31" i="2"/>
  <c r="D31" i="2" s="1"/>
  <c r="F30" i="2"/>
  <c r="E30" i="2"/>
  <c r="B30" i="2"/>
  <c r="D30" i="2" s="1"/>
  <c r="F29" i="2"/>
  <c r="E29" i="2"/>
  <c r="C29" i="2"/>
  <c r="B29" i="2"/>
  <c r="D29" i="2" s="1"/>
  <c r="F28" i="2"/>
  <c r="E28" i="2"/>
  <c r="C28" i="2"/>
  <c r="B28" i="2"/>
  <c r="D28" i="2" s="1"/>
  <c r="F27" i="2"/>
  <c r="E27" i="2"/>
  <c r="B27" i="2"/>
  <c r="D27" i="2" s="1"/>
  <c r="J22" i="2"/>
  <c r="F22" i="2"/>
  <c r="E22" i="2"/>
  <c r="C22" i="2"/>
  <c r="B22" i="2"/>
  <c r="F21" i="2"/>
  <c r="E21" i="2"/>
  <c r="B21" i="2"/>
  <c r="F20" i="2"/>
  <c r="E20" i="2"/>
  <c r="B20" i="2"/>
  <c r="F19" i="2"/>
  <c r="E19" i="2"/>
  <c r="B19" i="2"/>
  <c r="F18" i="2"/>
  <c r="E18" i="2"/>
  <c r="B18" i="2"/>
  <c r="F17" i="2"/>
  <c r="E17" i="2"/>
  <c r="B17" i="2"/>
  <c r="F16" i="2"/>
  <c r="B16" i="2"/>
  <c r="F15" i="2"/>
  <c r="F23" i="2" s="1"/>
  <c r="E23" i="2"/>
  <c r="C23" i="2"/>
  <c r="B15" i="2"/>
  <c r="J11" i="2"/>
  <c r="H11" i="2"/>
  <c r="F11" i="2"/>
  <c r="E11" i="2"/>
  <c r="C11" i="2"/>
  <c r="B11" i="2"/>
  <c r="D11" i="2" s="1"/>
  <c r="B7" i="2"/>
  <c r="B6" i="2"/>
  <c r="B8" i="2" s="1"/>
  <c r="E65" i="2" l="1"/>
  <c r="E56" i="2"/>
  <c r="E64" i="2"/>
  <c r="E63" i="2"/>
  <c r="U35" i="5"/>
  <c r="E60" i="2"/>
  <c r="G30" i="2"/>
  <c r="U42" i="5"/>
  <c r="E62" i="2"/>
  <c r="U80" i="5"/>
  <c r="G22" i="2"/>
  <c r="U79" i="5"/>
  <c r="G31" i="2"/>
  <c r="U70" i="5"/>
  <c r="G21" i="2"/>
  <c r="G29" i="2"/>
  <c r="U63" i="5"/>
  <c r="G20" i="2"/>
  <c r="U54" i="5"/>
  <c r="G19" i="2"/>
  <c r="U48" i="5"/>
  <c r="G36" i="2"/>
  <c r="U45" i="5"/>
  <c r="G18" i="2"/>
  <c r="U43" i="5"/>
  <c r="E49" i="2"/>
  <c r="U28" i="5"/>
  <c r="G17" i="2"/>
  <c r="U26" i="5"/>
  <c r="E59" i="2"/>
  <c r="U25" i="5"/>
  <c r="G28" i="2"/>
  <c r="U24" i="5"/>
  <c r="E58" i="2"/>
  <c r="G40" i="2"/>
  <c r="U23" i="5"/>
  <c r="G32" i="2"/>
  <c r="U22" i="5"/>
  <c r="G39" i="2"/>
  <c r="U20" i="5"/>
  <c r="G33" i="2"/>
  <c r="U19" i="5"/>
  <c r="G27" i="2"/>
  <c r="U17" i="5"/>
  <c r="G42" i="2"/>
  <c r="E51" i="2"/>
  <c r="U16" i="5"/>
  <c r="G34" i="2"/>
  <c r="E57" i="2"/>
  <c r="U14" i="5"/>
  <c r="G37" i="2"/>
  <c r="E50" i="2"/>
  <c r="U12" i="5"/>
  <c r="G16" i="2"/>
  <c r="U10" i="5"/>
  <c r="G41" i="2"/>
  <c r="G35" i="2"/>
  <c r="G15" i="2"/>
  <c r="G23" i="2" s="1"/>
  <c r="G11" i="2"/>
  <c r="AB85" i="6"/>
  <c r="AA85" i="6"/>
  <c r="Z85" i="6"/>
  <c r="Y85" i="6"/>
  <c r="AB84" i="6"/>
  <c r="AA84" i="6"/>
  <c r="Z84" i="6"/>
  <c r="Y84" i="6"/>
  <c r="Y83" i="6"/>
  <c r="AB83" i="6"/>
  <c r="AA83" i="6"/>
  <c r="Z83" i="6"/>
  <c r="K86" i="6"/>
  <c r="K89" i="6"/>
  <c r="K88" i="6"/>
  <c r="K87" i="6"/>
  <c r="J87" i="6"/>
  <c r="J86" i="6"/>
  <c r="J88" i="6"/>
  <c r="J89" i="6"/>
  <c r="I89" i="6"/>
  <c r="I87" i="6"/>
  <c r="I86" i="6"/>
  <c r="I88" i="6"/>
  <c r="H87" i="6"/>
  <c r="H86" i="6"/>
  <c r="H89" i="6"/>
  <c r="H88" i="6"/>
  <c r="G87" i="6"/>
  <c r="G86" i="6"/>
  <c r="G89" i="6"/>
  <c r="G88" i="6"/>
  <c r="F87" i="6"/>
  <c r="F89" i="6"/>
  <c r="F88" i="6"/>
  <c r="F86" i="6"/>
  <c r="E87" i="6"/>
  <c r="E89" i="6"/>
  <c r="AB82" i="6"/>
  <c r="AA82" i="6"/>
  <c r="E88" i="6"/>
  <c r="Z82" i="6"/>
  <c r="E86" i="6"/>
  <c r="Y82" i="6"/>
  <c r="X87" i="6"/>
  <c r="X89" i="6"/>
  <c r="X88" i="6"/>
  <c r="X86" i="6"/>
  <c r="W87" i="6"/>
  <c r="W89" i="6"/>
  <c r="W88" i="6"/>
  <c r="W86" i="6"/>
  <c r="V87" i="6"/>
  <c r="V88" i="6"/>
  <c r="V89" i="6"/>
  <c r="V86" i="6"/>
  <c r="U87" i="6"/>
  <c r="U88" i="6"/>
  <c r="U89" i="6"/>
  <c r="U86" i="6"/>
  <c r="T87" i="6"/>
  <c r="T88" i="6"/>
  <c r="T86" i="6"/>
  <c r="T89" i="6"/>
  <c r="S87" i="6"/>
  <c r="S88" i="6"/>
  <c r="S86" i="6"/>
  <c r="S89" i="6"/>
  <c r="R87" i="6"/>
  <c r="R89" i="6"/>
  <c r="R86" i="6"/>
  <c r="R88" i="6"/>
  <c r="Q89" i="6"/>
  <c r="Q86" i="6"/>
  <c r="Q88" i="6"/>
  <c r="Q87" i="6"/>
  <c r="P89" i="6"/>
  <c r="P86" i="6"/>
  <c r="P87" i="6"/>
  <c r="P88" i="6"/>
  <c r="O86" i="6"/>
  <c r="O89" i="6"/>
  <c r="O87" i="6"/>
  <c r="O88" i="6"/>
  <c r="N88" i="6"/>
  <c r="N87" i="6"/>
  <c r="N89" i="6"/>
  <c r="N86" i="6"/>
  <c r="M88" i="6"/>
  <c r="M87" i="6"/>
  <c r="M89" i="6"/>
  <c r="M86" i="6"/>
  <c r="L88" i="6"/>
  <c r="L89" i="6"/>
  <c r="L87" i="6"/>
  <c r="L86" i="6"/>
  <c r="AB81" i="6"/>
  <c r="AA81" i="6"/>
  <c r="Z81" i="6"/>
  <c r="Y81" i="6"/>
  <c r="Y80" i="6"/>
  <c r="AA80" i="6"/>
  <c r="Z80" i="6"/>
  <c r="AB80" i="6"/>
  <c r="AB79" i="6"/>
  <c r="AA79" i="6"/>
  <c r="Z79" i="6"/>
  <c r="Y79" i="6"/>
  <c r="AB78" i="6"/>
  <c r="AA78" i="6"/>
  <c r="Z78" i="6"/>
  <c r="Y78" i="6"/>
  <c r="Z77" i="6"/>
  <c r="Y77" i="6"/>
  <c r="AB77" i="6"/>
  <c r="AA77" i="6"/>
  <c r="Z76" i="6"/>
  <c r="AB76" i="6"/>
  <c r="AA76" i="6"/>
  <c r="Y76" i="6"/>
  <c r="AB75" i="6"/>
  <c r="AA75" i="6"/>
  <c r="Z75" i="6"/>
  <c r="Y75" i="6"/>
  <c r="AB74" i="6"/>
  <c r="AA74" i="6"/>
  <c r="Z74" i="6"/>
  <c r="Y74" i="6"/>
  <c r="AB73" i="6"/>
  <c r="AA73" i="6"/>
  <c r="Z73" i="6"/>
  <c r="Y73" i="6"/>
  <c r="AB72" i="6"/>
  <c r="AA72" i="6"/>
  <c r="Z72" i="6"/>
  <c r="Y72" i="6"/>
  <c r="Z71" i="6"/>
  <c r="Y71" i="6"/>
  <c r="AA71" i="6"/>
  <c r="AB71" i="6"/>
  <c r="AA70" i="6"/>
  <c r="AB70" i="6"/>
  <c r="Z70" i="6"/>
  <c r="Y70" i="6"/>
  <c r="AB69" i="6"/>
  <c r="AA69" i="6"/>
  <c r="Z69" i="6"/>
  <c r="Y69" i="6"/>
  <c r="Y68" i="6"/>
  <c r="Z68" i="6"/>
  <c r="AA68" i="6"/>
  <c r="AB68" i="6"/>
  <c r="Y67" i="6"/>
  <c r="Z67" i="6"/>
  <c r="AA67" i="6"/>
  <c r="AB67" i="6"/>
  <c r="Z66" i="6"/>
  <c r="AA66" i="6"/>
  <c r="AB66" i="6"/>
  <c r="Y66" i="6"/>
  <c r="AB65" i="6"/>
  <c r="AA65" i="6"/>
  <c r="Z65" i="6"/>
  <c r="Y65" i="6"/>
  <c r="Y64" i="6"/>
  <c r="AB64" i="6"/>
  <c r="AA64" i="6"/>
  <c r="Z64" i="6"/>
  <c r="AB63" i="6"/>
  <c r="AA63" i="6"/>
  <c r="Z63" i="6"/>
  <c r="Y63" i="6"/>
  <c r="AA62" i="6"/>
  <c r="Z62" i="6"/>
  <c r="Y62" i="6"/>
  <c r="AB62" i="6"/>
  <c r="AB61" i="6"/>
  <c r="AA61" i="6"/>
  <c r="Z61" i="6"/>
  <c r="Y61" i="6"/>
  <c r="AB60" i="6"/>
  <c r="AA60" i="6"/>
  <c r="Z60" i="6"/>
  <c r="Y60" i="6"/>
  <c r="AA59" i="6"/>
  <c r="Z59" i="6"/>
  <c r="Y59" i="6"/>
  <c r="AB59" i="6"/>
  <c r="AB58" i="6"/>
  <c r="AA58" i="6"/>
  <c r="Z58" i="6"/>
  <c r="Y58" i="6"/>
  <c r="AA57" i="6"/>
  <c r="Y57" i="6"/>
  <c r="Z57" i="6"/>
  <c r="AB57" i="6"/>
  <c r="Y56" i="6"/>
  <c r="Z56" i="6"/>
  <c r="AA56" i="6"/>
  <c r="AB56" i="6"/>
  <c r="Y55" i="6"/>
  <c r="Z55" i="6"/>
  <c r="AA55" i="6"/>
  <c r="AB55" i="6"/>
  <c r="Y54" i="6"/>
  <c r="AA54" i="6"/>
  <c r="AB54" i="6"/>
  <c r="Z54" i="6"/>
  <c r="AA53" i="6"/>
  <c r="AB53" i="6"/>
  <c r="Y53" i="6"/>
  <c r="Z53" i="6"/>
  <c r="AB52" i="6"/>
  <c r="AA52" i="6"/>
  <c r="Z52" i="6"/>
  <c r="Y52" i="6"/>
  <c r="Y51" i="6"/>
  <c r="AB51" i="6"/>
  <c r="AA51" i="6"/>
  <c r="Z51" i="6"/>
  <c r="AA50" i="6"/>
  <c r="AB50" i="6"/>
  <c r="Y50" i="6"/>
  <c r="Z50" i="6"/>
  <c r="Z49" i="6"/>
  <c r="AB49" i="6"/>
  <c r="AA49" i="6"/>
  <c r="Y49" i="6"/>
  <c r="Y48" i="6"/>
  <c r="Z48" i="6"/>
  <c r="AA48" i="6"/>
  <c r="AB48" i="6"/>
  <c r="Y47" i="6"/>
  <c r="Z47" i="6"/>
  <c r="AA47" i="6"/>
  <c r="AB47" i="6"/>
  <c r="Z46" i="6"/>
  <c r="AA46" i="6"/>
  <c r="AB46" i="6"/>
  <c r="Y46" i="6"/>
  <c r="AB45" i="6"/>
  <c r="AA45" i="6"/>
  <c r="Z45" i="6"/>
  <c r="Y45" i="6"/>
  <c r="AB44" i="6"/>
  <c r="Z44" i="6"/>
  <c r="AA44" i="6"/>
  <c r="Y44" i="6"/>
  <c r="AB43" i="6"/>
  <c r="Y43" i="6"/>
  <c r="Z43" i="6"/>
  <c r="AA43" i="6"/>
  <c r="Y42" i="6"/>
  <c r="AA42" i="6"/>
  <c r="Z42" i="6"/>
  <c r="AB42" i="6"/>
  <c r="Y41" i="6"/>
  <c r="Z41" i="6"/>
  <c r="AA41" i="6"/>
  <c r="AB41" i="6"/>
  <c r="AB40" i="6"/>
  <c r="Z40" i="6"/>
  <c r="Y40" i="6"/>
  <c r="AA40" i="6"/>
  <c r="AA39" i="6"/>
  <c r="AB39" i="6"/>
  <c r="Z39" i="6"/>
  <c r="Y39" i="6"/>
  <c r="Z38" i="6"/>
  <c r="AA38" i="6"/>
  <c r="AB38" i="6"/>
  <c r="Y38" i="6"/>
  <c r="AB37" i="6"/>
  <c r="Y37" i="6"/>
  <c r="Z37" i="6"/>
  <c r="AA37" i="6"/>
  <c r="Y36" i="6"/>
  <c r="Z36" i="6"/>
  <c r="Z35" i="6"/>
  <c r="AA35" i="6"/>
  <c r="AB35" i="6"/>
  <c r="Y35" i="6"/>
  <c r="AB34" i="6"/>
  <c r="AA34" i="6"/>
  <c r="Z34" i="6"/>
  <c r="Y34" i="6"/>
  <c r="Z33" i="6"/>
  <c r="AA33" i="6"/>
  <c r="AB33" i="6"/>
  <c r="Y33" i="6"/>
  <c r="Z32" i="6"/>
  <c r="Y32" i="6"/>
  <c r="AB32" i="6"/>
  <c r="AA32" i="6"/>
  <c r="AA31" i="6"/>
  <c r="Y31" i="6"/>
  <c r="Z31" i="6"/>
  <c r="AB31" i="6"/>
  <c r="AB30" i="6"/>
  <c r="AA30" i="6"/>
  <c r="Z30" i="6"/>
  <c r="Y30" i="6"/>
  <c r="AB29" i="6"/>
  <c r="AA29" i="6"/>
  <c r="Z29" i="6"/>
  <c r="Y29" i="6"/>
  <c r="AA28" i="6"/>
  <c r="AB28" i="6"/>
  <c r="Y28" i="6"/>
  <c r="Z28" i="6"/>
  <c r="Z27" i="6"/>
  <c r="AB27" i="6"/>
  <c r="AA27" i="6"/>
  <c r="Y27" i="6"/>
  <c r="AB26" i="6"/>
  <c r="AA26" i="6"/>
  <c r="Y26" i="6"/>
  <c r="Z26" i="6"/>
  <c r="Y25" i="6"/>
  <c r="Z25" i="6"/>
  <c r="AA25" i="6"/>
  <c r="AB25" i="6"/>
  <c r="Z24" i="6"/>
  <c r="AB24" i="6"/>
  <c r="Y24" i="6"/>
  <c r="AA24" i="6"/>
  <c r="Z23" i="6"/>
  <c r="AA23" i="6"/>
  <c r="AB23" i="6"/>
  <c r="Y23" i="6"/>
  <c r="AB22" i="6"/>
  <c r="AA22" i="6"/>
  <c r="Z22" i="6"/>
  <c r="Y22" i="6"/>
  <c r="Z21" i="6"/>
  <c r="AB21" i="6"/>
  <c r="AA21" i="6"/>
  <c r="Y21" i="6"/>
  <c r="AB20" i="6"/>
  <c r="AA20" i="6"/>
  <c r="Z20" i="6"/>
  <c r="Y20" i="6"/>
  <c r="AB19" i="6"/>
  <c r="Y19" i="6"/>
  <c r="Z19" i="6"/>
  <c r="AA19" i="6"/>
  <c r="AB18" i="6"/>
  <c r="AA18" i="6"/>
  <c r="Z18" i="6"/>
  <c r="Y18" i="6"/>
  <c r="Y17" i="6"/>
  <c r="AB17" i="6"/>
  <c r="AA17" i="6"/>
  <c r="Z17" i="6"/>
  <c r="Y16" i="6"/>
  <c r="Z16" i="6"/>
  <c r="AA16" i="6"/>
  <c r="AB16" i="6"/>
  <c r="Y15" i="6"/>
  <c r="Z15" i="6"/>
  <c r="AA15" i="6"/>
  <c r="AB15" i="6"/>
  <c r="AB14" i="6"/>
  <c r="AA14" i="6"/>
  <c r="Y14" i="6"/>
  <c r="Z14" i="6"/>
  <c r="Y13" i="6"/>
  <c r="Z13" i="6"/>
  <c r="AA13" i="6"/>
  <c r="AB13" i="6"/>
  <c r="Y12" i="6"/>
  <c r="Z12" i="6"/>
  <c r="AA12" i="6"/>
  <c r="AB12" i="6"/>
  <c r="Y11" i="6"/>
  <c r="AB11" i="6"/>
  <c r="Z11" i="6"/>
  <c r="AA11" i="6"/>
  <c r="Y10" i="6"/>
  <c r="AA10" i="6"/>
  <c r="AB10" i="6"/>
  <c r="AB9" i="6"/>
  <c r="Y9" i="6"/>
  <c r="AA9" i="6"/>
  <c r="Z9" i="6"/>
  <c r="AA8" i="6"/>
  <c r="Z8" i="6"/>
  <c r="Y8" i="6"/>
  <c r="AB8" i="6"/>
  <c r="AB7" i="6"/>
  <c r="Y7" i="6"/>
  <c r="Z7" i="6"/>
  <c r="AA7" i="6"/>
  <c r="AB6" i="6"/>
  <c r="AA6" i="6"/>
  <c r="Z6" i="6"/>
  <c r="Y6" i="6"/>
  <c r="AB5" i="6"/>
  <c r="Y5" i="6"/>
  <c r="AA5" i="6"/>
  <c r="Z5" i="6"/>
  <c r="E52" i="2"/>
  <c r="U74" i="5"/>
  <c r="E54" i="2"/>
  <c r="U61" i="5"/>
  <c r="U58" i="5"/>
  <c r="E53" i="2"/>
  <c r="E55" i="2"/>
  <c r="U56" i="5"/>
  <c r="U53" i="5"/>
  <c r="E48" i="2"/>
  <c r="G12" i="4"/>
  <c r="H12" i="4"/>
  <c r="G11" i="4"/>
  <c r="H11" i="4" s="1"/>
  <c r="G10" i="4"/>
  <c r="H10" i="4" s="1"/>
  <c r="G9" i="4"/>
  <c r="H9" i="4"/>
  <c r="G8" i="4"/>
  <c r="H8" i="4"/>
  <c r="G7" i="4"/>
  <c r="H7" i="4" s="1"/>
  <c r="G6" i="4"/>
  <c r="H6" i="4"/>
  <c r="G5" i="4"/>
  <c r="H5" i="4"/>
  <c r="D22" i="2"/>
  <c r="I22" i="2"/>
  <c r="H22" i="2"/>
  <c r="H21" i="2"/>
  <c r="D21" i="2"/>
  <c r="I21" i="2"/>
  <c r="D20" i="2"/>
  <c r="H20" i="2"/>
  <c r="I20" i="2"/>
  <c r="H19" i="2"/>
  <c r="I19" i="2"/>
  <c r="D19" i="2"/>
  <c r="H18" i="2"/>
  <c r="I18" i="2"/>
  <c r="D18" i="2"/>
  <c r="I17" i="2"/>
  <c r="D17" i="2"/>
  <c r="H17" i="2"/>
  <c r="I16" i="2"/>
  <c r="D16" i="2"/>
  <c r="H16" i="2"/>
  <c r="B23" i="2"/>
  <c r="D23" i="2" s="1"/>
  <c r="D15" i="2"/>
  <c r="I15" i="2"/>
  <c r="H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4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Days past Due while not Complete/Deferred. Uses TODAY().</t>
        </r>
      </text>
    </comment>
    <comment ref="U4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Red: Blocked or &gt;5 days overdue. Amber: At Risk, any overdue, or Not Started past Start date. Green: otherwise. Done: Complete.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700-000001000000}">
      <text>
        <r>
          <rPr>
            <sz val="11"/>
            <color theme="1"/>
            <rFont val="Calibri"/>
            <family val="2"/>
            <charset val="1"/>
          </rPr>
          <t>Type column drives ID prefix manually: R = Risk, A = Assumption, I = Issue, D = Dependency.</t>
        </r>
      </text>
    </comment>
  </commentList>
</comments>
</file>

<file path=xl/sharedStrings.xml><?xml version="1.0" encoding="utf-8"?>
<sst xmlns="http://schemas.openxmlformats.org/spreadsheetml/2006/main" count="1858" uniqueCount="682">
  <si>
    <t>Greenfield Supply Chain Go-Live — End-to-End Tracking Playbook</t>
  </si>
  <si>
    <t>Companion to the 'AI-Enabled Project Execution for Supply Chain' proposal. One workbook, one source of truth, from initiation to production go-live and close.</t>
  </si>
  <si>
    <t>HOW TO USE</t>
  </si>
  <si>
    <t>1. Stakeholders</t>
  </si>
  <si>
    <t>Start here. Confirm names, roles and escalation contacts. IDs (SH-xx) are used everywhere else.</t>
  </si>
  <si>
    <t>2. Objectives</t>
  </si>
  <si>
    <t>Charter objectives and success criteria. Every task traces to one objective; objective status rolls up automatically.</t>
  </si>
  <si>
    <t>3. Master Plan</t>
  </si>
  <si>
    <t>The integrated plan and traceability matrix: 81 pre-loaded tasks across 8 phases and 13 workstreams. Update Status, % Complete, Evidence and Notes weekly. Add rows as needed — dropdowns and formulas extend to row 200+.</t>
  </si>
  <si>
    <t>4. RACI Matrix</t>
  </si>
  <si>
    <t>Auto-generated grid of every stakeholder against every task (R/A/C/I), with load totals. Do not edit — change assignments in the Master Plan.</t>
  </si>
  <si>
    <t>5. Gate Checklists</t>
  </si>
  <si>
    <t>Completeness Gate items per phase. A gate shows PASSED only when every item is Complete or N/A. Review before each gate meeting.</t>
  </si>
  <si>
    <t>6. RAID Log</t>
  </si>
  <si>
    <t>Risks, Assumptions, Issues, Dependencies with scoring, owners and due dates. Link each entry to a task.</t>
  </si>
  <si>
    <t>7. Action Log</t>
  </si>
  <si>
    <t>Meeting actions with owners and due dates. Overdue days calculate automatically.</t>
  </si>
  <si>
    <t>8. Dashboard</t>
  </si>
  <si>
    <t>Executive view: overall progress, phase and workstream status, gate status, stakeholder load. Fully formula-driven — nothing to type.</t>
  </si>
  <si>
    <t>LEGEND</t>
  </si>
  <si>
    <t>Blue text</t>
  </si>
  <si>
    <t>Input — type here.</t>
  </si>
  <si>
    <t>Grey fill</t>
  </si>
  <si>
    <t>Formula — do not edit.</t>
  </si>
  <si>
    <t>Yellow fill</t>
  </si>
  <si>
    <t>Key assumption or field you must set (project name, start date).</t>
  </si>
  <si>
    <t>Health colours</t>
  </si>
  <si>
    <t>Green = on track · Amber = at risk / overdue / late start · Red = blocked or &gt; 5 days overdue · Grey = done.</t>
  </si>
  <si>
    <t>WEEKLY ROUTINE (with AI Copilot)</t>
  </si>
  <si>
    <t>Monday</t>
  </si>
  <si>
    <t>Owners update Status / % Complete / Evidence in Master Plan. Copilot flags tasks with no update in 7 days.</t>
  </si>
  <si>
    <t>Tuesday</t>
  </si>
  <si>
    <t>PMO reviews Dashboard exceptions only: overdue, at risk, blocked, unowned RAID items, open gate items.</t>
  </si>
  <si>
    <t>Wednesday</t>
  </si>
  <si>
    <t>Copilot drafts status report from Dashboard; PM reviews and sends. Meeting actions captured into Action Log.</t>
  </si>
  <si>
    <t>Gate week</t>
  </si>
  <si>
    <t>Copilot audits the Gate Checklist and lists gaps; PM confirms; sponsor approves gate at steering committee.</t>
  </si>
  <si>
    <t>ASSUMPTIONS</t>
  </si>
  <si>
    <t>Dates</t>
  </si>
  <si>
    <t>Example plan assumes a 52-week programme starting 05-Oct-2026 (Dashboard B5). All task dates are example inputs — replace with your baseline.</t>
  </si>
  <si>
    <t>Example data</t>
  </si>
  <si>
    <t>Rows marked Complete / In Progress in Master Plan, RAID Log and Action Log are illustrative examples showing the expected format.</t>
  </si>
  <si>
    <t>Phases</t>
  </si>
  <si>
    <t>Phases follow the five AI Copilot moments (Intake, Plan, Monitor, Communicate, Close) mapped to a greenfield DC lifecycle.</t>
  </si>
  <si>
    <t>Greenfield Supply Chain Go-Live — Executive Dashboard</t>
  </si>
  <si>
    <t>All figures calculate from the tracking sheets. Nothing to edit here except the project name and dates in the blue cells.</t>
  </si>
  <si>
    <t>Project</t>
  </si>
  <si>
    <t>Greenfield DC — WMS / WCS / Automation Go-Live</t>
  </si>
  <si>
    <t>Project start</t>
  </si>
  <si>
    <t>Target go-live</t>
  </si>
  <si>
    <t>Report date</t>
  </si>
  <si>
    <t>Days to go-live</t>
  </si>
  <si>
    <t>Total tasks</t>
  </si>
  <si>
    <t>Complete</t>
  </si>
  <si>
    <t>% Complete</t>
  </si>
  <si>
    <t>In progress</t>
  </si>
  <si>
    <t>At risk / blocked</t>
  </si>
  <si>
    <t>Overdue tasks</t>
  </si>
  <si>
    <t>Open RAID items</t>
  </si>
  <si>
    <t>High-severity RAID</t>
  </si>
  <si>
    <t>Open actions</t>
  </si>
  <si>
    <t>Progress by phase</t>
  </si>
  <si>
    <t>Phase</t>
  </si>
  <si>
    <t>Tasks</t>
  </si>
  <si>
    <t>In Progress</t>
  </si>
  <si>
    <t>At Risk / Blocked</t>
  </si>
  <si>
    <t>Overdue</t>
  </si>
  <si>
    <t>Phase Start</t>
  </si>
  <si>
    <t>Phase Due</t>
  </si>
  <si>
    <t>Gate Status</t>
  </si>
  <si>
    <t>1. Initiation</t>
  </si>
  <si>
    <t>2. Planning &amp; Design</t>
  </si>
  <si>
    <t>3. Build &amp; Configure</t>
  </si>
  <si>
    <t>4. Site Readiness</t>
  </si>
  <si>
    <t>5. Integration &amp; Testing</t>
  </si>
  <si>
    <t>6. Training &amp; Change</t>
  </si>
  <si>
    <t>7. Cutover &amp; Go-Live</t>
  </si>
  <si>
    <t>8. Hypercare &amp; Close</t>
  </si>
  <si>
    <t>Total</t>
  </si>
  <si>
    <t>Workload by workstream</t>
  </si>
  <si>
    <t>Workstream</t>
  </si>
  <si>
    <t>Automation (MHE)</t>
  </si>
  <si>
    <t>Change &amp; Training</t>
  </si>
  <si>
    <t>Cutover &amp; Go-Live</t>
  </si>
  <si>
    <t>Finance</t>
  </si>
  <si>
    <t>Hypercare &amp; Close</t>
  </si>
  <si>
    <t>Infrastructure</t>
  </si>
  <si>
    <t>Integration &amp; Data</t>
  </si>
  <si>
    <t>Operations &amp; Staffing</t>
  </si>
  <si>
    <t>PMO</t>
  </si>
  <si>
    <t>Safety &amp; Compliance</t>
  </si>
  <si>
    <t>Site Readiness</t>
  </si>
  <si>
    <t>Sponsor</t>
  </si>
  <si>
    <t>Testing</t>
  </si>
  <si>
    <t>Transportation</t>
  </si>
  <si>
    <t>Vendors</t>
  </si>
  <si>
    <t>WMS / WCS</t>
  </si>
  <si>
    <t>Stakeholder assignments (Responsible)</t>
  </si>
  <si>
    <t>Stakeholder</t>
  </si>
  <si>
    <t>Responsible for</t>
  </si>
  <si>
    <t>Accountable for</t>
  </si>
  <si>
    <t>Open (R)</t>
  </si>
  <si>
    <t>Overdue (R)</t>
  </si>
  <si>
    <t>Open RAID owned</t>
  </si>
  <si>
    <t>Open actions owned</t>
  </si>
  <si>
    <t>Stakeholder Register</t>
  </si>
  <si>
    <t>Blue cells are inputs. Add or rename stakeholders here — dropdowns on every other sheet update automatically.</t>
  </si>
  <si>
    <t>Stakeholder ID</t>
  </si>
  <si>
    <t>Role (used in dropdowns)</t>
  </si>
  <si>
    <t>Name / Title</t>
  </si>
  <si>
    <t>Organisation</t>
  </si>
  <si>
    <t>Responsibilities</t>
  </si>
  <si>
    <t>Email</t>
  </si>
  <si>
    <t>Escalation Contact</t>
  </si>
  <si>
    <t>SH-01</t>
  </si>
  <si>
    <t>Executive Sponsor</t>
  </si>
  <si>
    <t>VP Supply Chain Operations</t>
  </si>
  <si>
    <t>Leadership</t>
  </si>
  <si>
    <t>Approves charter, budget, phase gates and go-live decision</t>
  </si>
  <si>
    <t>sponsor@company.com</t>
  </si>
  <si>
    <t>COO</t>
  </si>
  <si>
    <t>SH-02</t>
  </si>
  <si>
    <t>Program Manager</t>
  </si>
  <si>
    <t>Senior Manager, PMO</t>
  </si>
  <si>
    <t>Owns the playbook, integrated plan, RAID log and gates</t>
  </si>
  <si>
    <t>SH-03</t>
  </si>
  <si>
    <t>PMO Analyst</t>
  </si>
  <si>
    <t>Project Coordinator</t>
  </si>
  <si>
    <t>Maintains tracker, status reports, action log; runs AI Copilot outputs</t>
  </si>
  <si>
    <t>SH-04</t>
  </si>
  <si>
    <t>Site / Facilities Lead</t>
  </si>
  <si>
    <t>Director, DC Engineering</t>
  </si>
  <si>
    <t>Facilities</t>
  </si>
  <si>
    <t>Building, utilities, racking, dock doors, permits</t>
  </si>
  <si>
    <t>SH-05</t>
  </si>
  <si>
    <t>WMS Product Owner</t>
  </si>
  <si>
    <t>Senior Manager, WMS</t>
  </si>
  <si>
    <t>IT</t>
  </si>
  <si>
    <t>WMS configuration, design decisions, backlog</t>
  </si>
  <si>
    <t>SH-06</t>
  </si>
  <si>
    <t>WMS Tech Lead</t>
  </si>
  <si>
    <t>Staff Engineer, WMS</t>
  </si>
  <si>
    <t>WMS build, interfaces, environments, code cutover</t>
  </si>
  <si>
    <t>SH-07</t>
  </si>
  <si>
    <t>WCS / Automation Lead</t>
  </si>
  <si>
    <t>Manager, Automation Engineering</t>
  </si>
  <si>
    <t>Engineering</t>
  </si>
  <si>
    <t>Conveyor, sortation, robotics, WCS commissioning</t>
  </si>
  <si>
    <t>SH-08</t>
  </si>
  <si>
    <t>Integration / ERP Lead</t>
  </si>
  <si>
    <t>Manager, Enterprise Integration</t>
  </si>
  <si>
    <t>ERP, OMS, TMS, EDI interfaces and middleware</t>
  </si>
  <si>
    <t>SH-09</t>
  </si>
  <si>
    <t>Data Migration Lead</t>
  </si>
  <si>
    <t>Senior Data Engineer</t>
  </si>
  <si>
    <t>Item master, locations, inventory, customer and vendor data loads</t>
  </si>
  <si>
    <t>SH-10</t>
  </si>
  <si>
    <t>QA / Test Manager</t>
  </si>
  <si>
    <t>Manager, Quality Engineering</t>
  </si>
  <si>
    <t>Test strategy, SIT, UAT, performance test, defect triage</t>
  </si>
  <si>
    <t>SH-11</t>
  </si>
  <si>
    <t>Operations Lead</t>
  </si>
  <si>
    <t>General Manager, DC</t>
  </si>
  <si>
    <t>Operations</t>
  </si>
  <si>
    <t>Process design, SOPs, hiring, shift model, go-live operations</t>
  </si>
  <si>
    <t>SH-12</t>
  </si>
  <si>
    <t>Transportation Lead</t>
  </si>
  <si>
    <t>Manager, Transportation</t>
  </si>
  <si>
    <t>Carrier setup, yard, dock scheduling, TMS routing</t>
  </si>
  <si>
    <t>SH-13</t>
  </si>
  <si>
    <t>Procurement / Vendor Lead</t>
  </si>
  <si>
    <t>Senior Buyer, Indirect Procurement</t>
  </si>
  <si>
    <t>Procurement</t>
  </si>
  <si>
    <t>MHE, WMS and construction vendor contracts, SOWs, milestones</t>
  </si>
  <si>
    <t>SH-14</t>
  </si>
  <si>
    <t>MHE Vendor PM</t>
  </si>
  <si>
    <t>Project Manager (vendor)</t>
  </si>
  <si>
    <t>External</t>
  </si>
  <si>
    <t>Vendor delivery of equipment, install, commissioning</t>
  </si>
  <si>
    <t>SH-15</t>
  </si>
  <si>
    <t>Safety &amp; Compliance Lead</t>
  </si>
  <si>
    <t>Manager, EHS</t>
  </si>
  <si>
    <t>Safety</t>
  </si>
  <si>
    <t>OSHA / fire / equipment safety sign-offs, certifications</t>
  </si>
  <si>
    <t>SH-16</t>
  </si>
  <si>
    <t>Finance Partner</t>
  </si>
  <si>
    <t>Finance Manager, Supply Chain</t>
  </si>
  <si>
    <t>Budget, capex tracking, PO approvals, benefits tracking</t>
  </si>
  <si>
    <t>SH-17</t>
  </si>
  <si>
    <t>Change &amp; Training Lead</t>
  </si>
  <si>
    <t>Manager, Learning &amp; Change</t>
  </si>
  <si>
    <t>HR</t>
  </si>
  <si>
    <t>Training plan, super-users, communications, adoption</t>
  </si>
  <si>
    <t>SH-18</t>
  </si>
  <si>
    <t>IT Infrastructure Lead</t>
  </si>
  <si>
    <t>Manager, Site Infrastructure</t>
  </si>
  <si>
    <t>Network, Wi-Fi, RF devices, printers, servers, cybersecurity</t>
  </si>
  <si>
    <t>SH-19</t>
  </si>
  <si>
    <t>Cutover Manager</t>
  </si>
  <si>
    <t>Senior Project Manager</t>
  </si>
  <si>
    <t>Cutover runbook, command center, go / no-go readiness</t>
  </si>
  <si>
    <t>SH-20</t>
  </si>
  <si>
    <t>Hypercare Lead</t>
  </si>
  <si>
    <t>Support Manager, WMS</t>
  </si>
  <si>
    <t>Post go-live support, defect resolution, stabilisation metrics</t>
  </si>
  <si>
    <t>Charter Objectives &amp; Success Criteria (traceability anchor)</t>
  </si>
  <si>
    <t>Every deliverable and task in the Master Plan traces back to one of these objectives via the Objective ID column.</t>
  </si>
  <si>
    <t>Objective ID</t>
  </si>
  <si>
    <t>Objective</t>
  </si>
  <si>
    <t>Success Criteria / Measure</t>
  </si>
  <si>
    <t>Accountable (ID)</t>
  </si>
  <si>
    <t>Tasks Linked</t>
  </si>
  <si>
    <t>Tasks Complete</t>
  </si>
  <si>
    <t>Status</t>
  </si>
  <si>
    <t>OBJ-01</t>
  </si>
  <si>
    <t>Open the greenfield DC on schedule with production go-live by the committed date</t>
  </si>
  <si>
    <t>Go-live date achieved; cutover completed within the planned window</t>
  </si>
  <si>
    <t>OBJ-02</t>
  </si>
  <si>
    <t>Deliver a fully operational WMS / WCS stack with no Severity-1 defects at go-live</t>
  </si>
  <si>
    <t>Zero open Sev-1 defects at go / no-go; SIT and UAT exit criteria met</t>
  </si>
  <si>
    <t>OBJ-03</t>
  </si>
  <si>
    <t>Commission automation (conveyor, sortation, robotics) at design throughput</t>
  </si>
  <si>
    <t>Throughput acceptance test passed at ≥ 95% of design rate</t>
  </si>
  <si>
    <t>OBJ-04</t>
  </si>
  <si>
    <t>Stand up a trained, certified workforce and shift model before first receipt</t>
  </si>
  <si>
    <t>100% of go-live associates trained and certified; supervisors signed off</t>
  </si>
  <si>
    <t>OBJ-05</t>
  </si>
  <si>
    <t>Achieve site, safety and regulatory readiness</t>
  </si>
  <si>
    <t>Certificate of occupancy, fire, OSHA and equipment safety sign-offs complete</t>
  </si>
  <si>
    <t>OBJ-06</t>
  </si>
  <si>
    <t>Connect inbound and outbound network flows (suppliers, carriers, ERP, TMS)</t>
  </si>
  <si>
    <t>EDI partners live; carriers onboarded; first inbound and outbound shipments executed</t>
  </si>
  <si>
    <t>OBJ-07</t>
  </si>
  <si>
    <t>Deliver within approved capex and opex budget</t>
  </si>
  <si>
    <t>Actual spend within ±5% of approved budget at close</t>
  </si>
  <si>
    <t>OBJ-08</t>
  </si>
  <si>
    <t>Stabilise operations and hand over to run organisation</t>
  </si>
  <si>
    <t>Hypercare exit criteria met; lessons learned published; templates updated</t>
  </si>
  <si>
    <t>Master Plan &amp; Traceability Matrix — Greenfield Supply Chain Go-Live</t>
  </si>
  <si>
    <t>One row per task. Blue = input. Grey = formula (do not edit). Owners are Stakeholder IDs; R/A/C/I trace every stakeholder to every task. Status drives Dashboard, Objectives and Gates.</t>
  </si>
  <si>
    <t>Task ID</t>
  </si>
  <si>
    <t>Deliverable</t>
  </si>
  <si>
    <t>Task / Activity</t>
  </si>
  <si>
    <t>Responsible (ID)</t>
  </si>
  <si>
    <t>Consulted (ID)</t>
  </si>
  <si>
    <t>Informed (ID)</t>
  </si>
  <si>
    <t>Start</t>
  </si>
  <si>
    <t>Due</t>
  </si>
  <si>
    <t>Duration (days)</t>
  </si>
  <si>
    <t>Predecessors</t>
  </si>
  <si>
    <t>AI Copilot Moment</t>
  </si>
  <si>
    <t>Gate</t>
  </si>
  <si>
    <t>Evidence / Link</t>
  </si>
  <si>
    <t>Days Overdue</t>
  </si>
  <si>
    <t>Health</t>
  </si>
  <si>
    <t>Last Updated</t>
  </si>
  <si>
    <t>Notes</t>
  </si>
  <si>
    <t>T-001</t>
  </si>
  <si>
    <t>Project Charter</t>
  </si>
  <si>
    <t>Draft charter from business case using AI Copilot (scope, objectives, success metrics, constraints)</t>
  </si>
  <si>
    <t>Intake</t>
  </si>
  <si>
    <t>G1</t>
  </si>
  <si>
    <t>T-002</t>
  </si>
  <si>
    <t>Review and approve charter</t>
  </si>
  <si>
    <t>T-003</t>
  </si>
  <si>
    <t>Identify stakeholders, confirm roles and escalation paths</t>
  </si>
  <si>
    <t>T-004</t>
  </si>
  <si>
    <t>Budget Baseline</t>
  </si>
  <si>
    <t>Approve capex / opex baseline and funding release</t>
  </si>
  <si>
    <t>T-005</t>
  </si>
  <si>
    <t>Governance Model</t>
  </si>
  <si>
    <t>Set up steering committee cadence, RAID log and Completeness Gate checklists</t>
  </si>
  <si>
    <t>Plan</t>
  </si>
  <si>
    <t>T-006</t>
  </si>
  <si>
    <t>Vendor Shortlist</t>
  </si>
  <si>
    <t>Confirm MHE, WMS and construction vendors and SOW status</t>
  </si>
  <si>
    <t>T-007</t>
  </si>
  <si>
    <t>Gate 1 Review</t>
  </si>
  <si>
    <t>Completeness Gate 1: charter, budget, stakeholders, governance approved</t>
  </si>
  <si>
    <t>T-002,T-004,T-005</t>
  </si>
  <si>
    <t>Communicate</t>
  </si>
  <si>
    <t>T-008</t>
  </si>
  <si>
    <t>Integrated Master Plan</t>
  </si>
  <si>
    <t>Generate WBS from greenfield template; confirm dependencies and critical path</t>
  </si>
  <si>
    <t>G2</t>
  </si>
  <si>
    <t>T-009</t>
  </si>
  <si>
    <t>RAID Baseline</t>
  </si>
  <si>
    <t>Create RAID baseline with owners and due dates</t>
  </si>
  <si>
    <t>Not Started</t>
  </si>
  <si>
    <t>T-010</t>
  </si>
  <si>
    <t>Facility Design</t>
  </si>
  <si>
    <t>Finalise building layout, racking, dock doors and utilities design</t>
  </si>
  <si>
    <t>T-011</t>
  </si>
  <si>
    <t>Permits</t>
  </si>
  <si>
    <t>Submit building, fire and occupancy permit applications</t>
  </si>
  <si>
    <t>Monitor</t>
  </si>
  <si>
    <t>T-012</t>
  </si>
  <si>
    <t>Process Design</t>
  </si>
  <si>
    <t>Design inbound, putaway, pick, pack, ship and returns processes (to-be)</t>
  </si>
  <si>
    <t>T-013</t>
  </si>
  <si>
    <t>WMS Functional Design</t>
  </si>
  <si>
    <t>Fit-gap workshops and functional design document sign-off</t>
  </si>
  <si>
    <t>T-014</t>
  </si>
  <si>
    <t>WMS Technical Design</t>
  </si>
  <si>
    <t>Technical design: environments, interfaces, data model, security</t>
  </si>
  <si>
    <t>T-015</t>
  </si>
  <si>
    <t>Automation Design</t>
  </si>
  <si>
    <t>Approve MHE layout, throughput model and WCS control philosophy</t>
  </si>
  <si>
    <t>T-016</t>
  </si>
  <si>
    <t>Interface Catalogue</t>
  </si>
  <si>
    <t>Define all ERP / OMS / TMS / WCS / EDI interfaces with owners</t>
  </si>
  <si>
    <t>T-017</t>
  </si>
  <si>
    <t>Data Migration Strategy</t>
  </si>
  <si>
    <t>Define data objects, sources, cleansing rules and load sequence</t>
  </si>
  <si>
    <t>T-018</t>
  </si>
  <si>
    <t>Test Strategy</t>
  </si>
  <si>
    <t>Approve test strategy: unit, SIT, UAT, performance, throughput acceptance</t>
  </si>
  <si>
    <t>T-019</t>
  </si>
  <si>
    <t>Infrastructure Design</t>
  </si>
  <si>
    <t>Design network, Wi-Fi survey, RF devices, printers, server / cloud</t>
  </si>
  <si>
    <t>T-020</t>
  </si>
  <si>
    <t>Transportation Design</t>
  </si>
  <si>
    <t>Design carrier network, yard and dock scheduling, TMS routing</t>
  </si>
  <si>
    <t>T-021</t>
  </si>
  <si>
    <t>Change Plan</t>
  </si>
  <si>
    <t>Change impact assessment, communication and training plan</t>
  </si>
  <si>
    <t>T-022</t>
  </si>
  <si>
    <t>Vendor Contracts</t>
  </si>
  <si>
    <t>Execute MHE, WMS and construction contracts with milestone schedule</t>
  </si>
  <si>
    <t>T-023</t>
  </si>
  <si>
    <t>Gate 2 Review</t>
  </si>
  <si>
    <t>Completeness Gate 2: all designs, plan, RAID and contracts approved</t>
  </si>
  <si>
    <t>T-013,T-015,T-016,T-022</t>
  </si>
  <si>
    <t>T-024</t>
  </si>
  <si>
    <t>WMS Configuration</t>
  </si>
  <si>
    <t>Configure WMS: locations, zones, rules, workflows, labels</t>
  </si>
  <si>
    <t>G3</t>
  </si>
  <si>
    <t>T-025</t>
  </si>
  <si>
    <t>WMS Custom Development</t>
  </si>
  <si>
    <t>Build approved customisations and reports</t>
  </si>
  <si>
    <t>T-026</t>
  </si>
  <si>
    <t>Environment Build</t>
  </si>
  <si>
    <t>Provision DEV / TEST / PROD environments and CI/CD</t>
  </si>
  <si>
    <t>T-027</t>
  </si>
  <si>
    <t>Interface Development</t>
  </si>
  <si>
    <t>Develop and unit test all interfaces per catalogue</t>
  </si>
  <si>
    <t>T-028</t>
  </si>
  <si>
    <t>EDI Partner Setup</t>
  </si>
  <si>
    <t>Set up EDI with priority suppliers and carriers</t>
  </si>
  <si>
    <t>T-029</t>
  </si>
  <si>
    <t>Data Cleansing</t>
  </si>
  <si>
    <t>Cleanse item master, vendor, customer and location data</t>
  </si>
  <si>
    <t>T-030</t>
  </si>
  <si>
    <t>Mock Data Load 1</t>
  </si>
  <si>
    <t>Execute first mock migration into TEST</t>
  </si>
  <si>
    <t>T-029,T-026</t>
  </si>
  <si>
    <t>T-031</t>
  </si>
  <si>
    <t>Equipment Manufacture</t>
  </si>
  <si>
    <t>Vendor manufactures conveyor, sortation and robotics</t>
  </si>
  <si>
    <t>T-032</t>
  </si>
  <si>
    <t>WCS Development</t>
  </si>
  <si>
    <t>Vendor develops WCS and emulation model</t>
  </si>
  <si>
    <t>T-033</t>
  </si>
  <si>
    <t>Construction</t>
  </si>
  <si>
    <t>Building shell, floor, utilities and fire suppression complete</t>
  </si>
  <si>
    <t>T-034</t>
  </si>
  <si>
    <t>Network &amp; RF Install</t>
  </si>
  <si>
    <t>Install network, Wi-Fi, RF devices and printers</t>
  </si>
  <si>
    <t>T-033,T-019</t>
  </si>
  <si>
    <t>T-035</t>
  </si>
  <si>
    <t>SOP Development</t>
  </si>
  <si>
    <t>Write SOPs and work instructions for every process</t>
  </si>
  <si>
    <t>T-036</t>
  </si>
  <si>
    <t>Hiring Plan</t>
  </si>
  <si>
    <t>Approve hiring plan, shift model and recruiting start</t>
  </si>
  <si>
    <t>T-037</t>
  </si>
  <si>
    <t>Carrier Onboarding</t>
  </si>
  <si>
    <t>Contract and onboard carriers; configure TMS lanes</t>
  </si>
  <si>
    <t>T-038</t>
  </si>
  <si>
    <t>Capex Tracking</t>
  </si>
  <si>
    <t>Monthly capex vs. budget review with variance explanations</t>
  </si>
  <si>
    <t>T-039</t>
  </si>
  <si>
    <t>Weekly Status Report</t>
  </si>
  <si>
    <t>AI-drafted weekly status and exception review (recurring through go-live)</t>
  </si>
  <si>
    <t>T-040</t>
  </si>
  <si>
    <t>Gate 3 Review</t>
  </si>
  <si>
    <t>Completeness Gate 3: build complete, construction and equipment on schedule</t>
  </si>
  <si>
    <t>T-024,T-025,T-027,T-033</t>
  </si>
  <si>
    <t>T-041</t>
  </si>
  <si>
    <t>Racking Install</t>
  </si>
  <si>
    <t>Install racking, mezzanine and dock equipment</t>
  </si>
  <si>
    <t>G4</t>
  </si>
  <si>
    <t>T-042</t>
  </si>
  <si>
    <t>MHE Installation</t>
  </si>
  <si>
    <t>Mechanical and electrical installation of automation</t>
  </si>
  <si>
    <t>T-031,T-033</t>
  </si>
  <si>
    <t>T-043</t>
  </si>
  <si>
    <t>MHE Commissioning</t>
  </si>
  <si>
    <t>Dry commissioning and WCS control testing</t>
  </si>
  <si>
    <t>T-042,T-032</t>
  </si>
  <si>
    <t>T-044</t>
  </si>
  <si>
    <t>Safety Inspections</t>
  </si>
  <si>
    <t>Fire marshal, OSHA and equipment safety inspections</t>
  </si>
  <si>
    <t>T-041,T-042</t>
  </si>
  <si>
    <t>T-045</t>
  </si>
  <si>
    <t>Certificate of Occupancy</t>
  </si>
  <si>
    <t>Obtain certificate of occupancy</t>
  </si>
  <si>
    <t>T-046</t>
  </si>
  <si>
    <t>Supervisor Hiring</t>
  </si>
  <si>
    <t>Hire and onboard supervisors and leads</t>
  </si>
  <si>
    <t>T-047</t>
  </si>
  <si>
    <t>Site IT Go-Live</t>
  </si>
  <si>
    <t>Site network, RF and printers live and tested</t>
  </si>
  <si>
    <t>T-048</t>
  </si>
  <si>
    <t>Yard &amp; Dock Setup</t>
  </si>
  <si>
    <t>Yard management, dock scheduling and gate procedures ready</t>
  </si>
  <si>
    <t>T-037,T-041</t>
  </si>
  <si>
    <t>T-049</t>
  </si>
  <si>
    <t>Gate 4 Review</t>
  </si>
  <si>
    <t>Completeness Gate 4: site, safety, equipment and infrastructure ready</t>
  </si>
  <si>
    <t>T-043,T-045,T-047</t>
  </si>
  <si>
    <t>T-050</t>
  </si>
  <si>
    <t>System Integration Test</t>
  </si>
  <si>
    <t>SIT cycles 1-2 across WMS, ERP, OMS, TMS and WCS emulation</t>
  </si>
  <si>
    <t>T-027,T-030</t>
  </si>
  <si>
    <t>G5</t>
  </si>
  <si>
    <t>T-051</t>
  </si>
  <si>
    <t>Defect Management</t>
  </si>
  <si>
    <t>Daily defect triage; Sev-1 / Sev-2 burn-down tracked</t>
  </si>
  <si>
    <t>T-052</t>
  </si>
  <si>
    <t>Mock Data Load 2</t>
  </si>
  <si>
    <t>Full-volume mock migration with reconciliation report</t>
  </si>
  <si>
    <t>T-053</t>
  </si>
  <si>
    <t>Performance Test</t>
  </si>
  <si>
    <t>Peak-volume performance and interface load test</t>
  </si>
  <si>
    <t>T-050,T-052</t>
  </si>
  <si>
    <t>T-054</t>
  </si>
  <si>
    <t>Throughput Acceptance Test</t>
  </si>
  <si>
    <t>Integrated WMS / WCS / MHE throughput test at design rate</t>
  </si>
  <si>
    <t>T-043,T-050</t>
  </si>
  <si>
    <t>T-055</t>
  </si>
  <si>
    <t>User Acceptance Test</t>
  </si>
  <si>
    <t>UAT with operations super-users; exit criteria signed</t>
  </si>
  <si>
    <t>T-050,T-035</t>
  </si>
  <si>
    <t>T-056</t>
  </si>
  <si>
    <t>Carrier Connectivity Test</t>
  </si>
  <si>
    <t>End-to-end label, manifest and EDI 214/210 test with carriers</t>
  </si>
  <si>
    <t>T-037,T-028</t>
  </si>
  <si>
    <t>T-057</t>
  </si>
  <si>
    <t>Supplier EDI Test</t>
  </si>
  <si>
    <t>Test ASN / PO / invoice with priority suppliers</t>
  </si>
  <si>
    <t>T-058</t>
  </si>
  <si>
    <t>Gate 5 Review</t>
  </si>
  <si>
    <t>Completeness Gate 5: SIT / UAT / performance / throughput exit criteria met, no open Sev-1</t>
  </si>
  <si>
    <t>T-053,T-054,T-055</t>
  </si>
  <si>
    <t>T-059</t>
  </si>
  <si>
    <t>Training Content</t>
  </si>
  <si>
    <t>Build role-based training and job aids from SOPs</t>
  </si>
  <si>
    <t>G6</t>
  </si>
  <si>
    <t>T-060</t>
  </si>
  <si>
    <t>Super-User Training</t>
  </si>
  <si>
    <t>Train and certify super-users (one per process area per shift)</t>
  </si>
  <si>
    <t>T-059,T-046</t>
  </si>
  <si>
    <t>T-061</t>
  </si>
  <si>
    <t>Associate Hiring</t>
  </si>
  <si>
    <t>Hire go-live associate headcount</t>
  </si>
  <si>
    <t>T-062</t>
  </si>
  <si>
    <t>Associate Training</t>
  </si>
  <si>
    <t>Train and certify all go-live associates (hands-on in TEST)</t>
  </si>
  <si>
    <t>T-060,T-061</t>
  </si>
  <si>
    <t>T-063</t>
  </si>
  <si>
    <t>Communications</t>
  </si>
  <si>
    <t>Stakeholder and customer / supplier go-live communications</t>
  </si>
  <si>
    <t>T-064</t>
  </si>
  <si>
    <t>Operational Dress Rehearsal</t>
  </si>
  <si>
    <t>Simulated day-in-the-life with real equipment and system</t>
  </si>
  <si>
    <t>T-062,T-054</t>
  </si>
  <si>
    <t>T-065</t>
  </si>
  <si>
    <t>Gate 6 Review</t>
  </si>
  <si>
    <t>Completeness Gate 6: 100% training certified, rehearsal passed</t>
  </si>
  <si>
    <t>T-062,T-064</t>
  </si>
  <si>
    <t>T-066</t>
  </si>
  <si>
    <t>Cutover Runbook</t>
  </si>
  <si>
    <t>Minute-by-minute cutover runbook with owners and rollback plan</t>
  </si>
  <si>
    <t>G7</t>
  </si>
  <si>
    <t>T-067</t>
  </si>
  <si>
    <t>Cutover Rehearsal</t>
  </si>
  <si>
    <t>Full cutover rehearsal in TEST including data load timing</t>
  </si>
  <si>
    <t>T-066,T-052</t>
  </si>
  <si>
    <t>T-068</t>
  </si>
  <si>
    <t>Go / No-Go Readiness</t>
  </si>
  <si>
    <t>Readiness assessment across all workstreams; sponsor decision</t>
  </si>
  <si>
    <t>T-058,T-065,T-067</t>
  </si>
  <si>
    <t>T-069</t>
  </si>
  <si>
    <t>Production Data Load</t>
  </si>
  <si>
    <t>Final data migration into PROD with reconciliation sign-off</t>
  </si>
  <si>
    <t>T-070</t>
  </si>
  <si>
    <t>Production Code Deploy</t>
  </si>
  <si>
    <t>Deploy WMS / interfaces to PROD; smoke test</t>
  </si>
  <si>
    <t>T-071</t>
  </si>
  <si>
    <t>Command Center</t>
  </si>
  <si>
    <t>Stand up go-live command center and escalation rota</t>
  </si>
  <si>
    <t>T-072</t>
  </si>
  <si>
    <t>First Inbound Receipt</t>
  </si>
  <si>
    <t>Execute first inbound receipt and putaway in production</t>
  </si>
  <si>
    <t>T-069,T-070</t>
  </si>
  <si>
    <t>T-073</t>
  </si>
  <si>
    <t>First Outbound Shipment</t>
  </si>
  <si>
    <t>Execute first pick, pack, ship and carrier tender</t>
  </si>
  <si>
    <t>T-074</t>
  </si>
  <si>
    <t>Gate 7 Review</t>
  </si>
  <si>
    <t>Completeness Gate 7: production go-live achieved, first shipments confirmed</t>
  </si>
  <si>
    <t>T-072,T-073</t>
  </si>
  <si>
    <t>T-075</t>
  </si>
  <si>
    <t>Hypercare Support</t>
  </si>
  <si>
    <t>Daily stabilisation review: defects, throughput, inventory accuracy</t>
  </si>
  <si>
    <t>T-076</t>
  </si>
  <si>
    <t>Volume Ramp</t>
  </si>
  <si>
    <t>Ramp to planned volume against ramp curve</t>
  </si>
  <si>
    <t>G8</t>
  </si>
  <si>
    <t>T-077</t>
  </si>
  <si>
    <t>Financial Close</t>
  </si>
  <si>
    <t>Final capex reconciliation and benefits baseline</t>
  </si>
  <si>
    <t>Close</t>
  </si>
  <si>
    <t>T-078</t>
  </si>
  <si>
    <t>Vendor Acceptance</t>
  </si>
  <si>
    <t>Final acceptance certificates and warranty start for MHE / WMS</t>
  </si>
  <si>
    <t>T-079</t>
  </si>
  <si>
    <t>Handover to Run</t>
  </si>
  <si>
    <t>Transition to run support; knowledge transfer complete</t>
  </si>
  <si>
    <t>T-080</t>
  </si>
  <si>
    <t>Lessons Learned</t>
  </si>
  <si>
    <t>AI-summarised lessons learned from RAID log and status history; templates updated</t>
  </si>
  <si>
    <t>T-081</t>
  </si>
  <si>
    <t>Gate 8 Review</t>
  </si>
  <si>
    <t>Completeness Gate 8: hypercare exit, financial close, lessons published, project archived</t>
  </si>
  <si>
    <t>T-076,T-077,T-079,T-080</t>
  </si>
  <si>
    <t>RACI Traceability Matrix — every stakeholder against every task (auto-derived from Master Plan)</t>
  </si>
  <si>
    <t>Formula-driven: R = Responsible, A = Accountable, C = Consulted, I = Informed. Edit assignments in Master Plan columns G–J, not here. Totals at right show each stakeholder's load.</t>
  </si>
  <si>
    <t>Stakeholder ID →</t>
  </si>
  <si>
    <t># R</t>
  </si>
  <si>
    <t># A</t>
  </si>
  <si>
    <t># C</t>
  </si>
  <si>
    <t># I</t>
  </si>
  <si>
    <t>Assignments per stakeholder</t>
  </si>
  <si>
    <t>Total R</t>
  </si>
  <si>
    <t>Total A</t>
  </si>
  <si>
    <t>Total C</t>
  </si>
  <si>
    <t>Total I</t>
  </si>
  <si>
    <t>Completeness Gate Checklists — a phase cannot close while any item is open</t>
  </si>
  <si>
    <t>Blue = input. Gate status is calculated. The AI Copilot audits these lists before each gate review and lists gaps for the PM to confirm.</t>
  </si>
  <si>
    <t>Checklist Item</t>
  </si>
  <si>
    <t>Owner (ID)</t>
  </si>
  <si>
    <t>Linked Task(s)</t>
  </si>
  <si>
    <t>Reviewed By</t>
  </si>
  <si>
    <t>Review Date</t>
  </si>
  <si>
    <t>Comments</t>
  </si>
  <si>
    <t>Gate 1 — Initiation complete</t>
  </si>
  <si>
    <t>Gate status:</t>
  </si>
  <si>
    <t>Project charter approved by sponsor</t>
  </si>
  <si>
    <t>Budget baseline approved and funding released</t>
  </si>
  <si>
    <t>Stakeholder register complete with escalation paths</t>
  </si>
  <si>
    <t>Steering committee cadence and RAID log established</t>
  </si>
  <si>
    <t>Gate checklists and templates loaded into PM tool / AI Copilot</t>
  </si>
  <si>
    <t>Vendor shortlist and SOW status confirmed</t>
  </si>
  <si>
    <t>Gate 2 — Planning &amp; design complete</t>
  </si>
  <si>
    <t>Integrated master plan baselined; critical path identified</t>
  </si>
  <si>
    <t>Open</t>
  </si>
  <si>
    <t>RAID baseline reviewed; every item has owner and due date</t>
  </si>
  <si>
    <t>Facility design and permits submitted</t>
  </si>
  <si>
    <t>WMS functional and technical design signed off</t>
  </si>
  <si>
    <t>Automation design and throughput model approved</t>
  </si>
  <si>
    <t>Interface catalogue and data migration strategy approved</t>
  </si>
  <si>
    <t>Test strategy approved with exit criteria</t>
  </si>
  <si>
    <t>Vendor contracts executed with milestone schedule</t>
  </si>
  <si>
    <t>Change and training plan approved</t>
  </si>
  <si>
    <t>Gate 3 — Build complete</t>
  </si>
  <si>
    <t>WMS configuration and customisations complete and unit tested</t>
  </si>
  <si>
    <t>All interfaces developed and unit tested</t>
  </si>
  <si>
    <t>Mock data load 1 executed with reconciliation</t>
  </si>
  <si>
    <t>Equipment manufactured and shipping confirmed</t>
  </si>
  <si>
    <t>WCS developed; emulation model available</t>
  </si>
  <si>
    <t>Construction on schedule; no open permit issues</t>
  </si>
  <si>
    <t>SOPs drafted for every process</t>
  </si>
  <si>
    <t>Capex within tolerance</t>
  </si>
  <si>
    <t>Gate 4 — Site ready</t>
  </si>
  <si>
    <t>Racking, mezzanine and dock equipment installed</t>
  </si>
  <si>
    <t>MHE installed and dry-commissioned</t>
  </si>
  <si>
    <t>Safety inspections passed; certificate of occupancy obtained</t>
  </si>
  <si>
    <t>Site network, RF devices and printers live</t>
  </si>
  <si>
    <t>Supervisors hired and onboarded</t>
  </si>
  <si>
    <t>Yard and dock scheduling ready</t>
  </si>
  <si>
    <t>Gate 5 — Testing complete</t>
  </si>
  <si>
    <t>SIT exit criteria met</t>
  </si>
  <si>
    <t>Performance test passed at peak volume</t>
  </si>
  <si>
    <t>Throughput acceptance test ≥ 95% of design rate</t>
  </si>
  <si>
    <t>UAT signed off by operations</t>
  </si>
  <si>
    <t>Carrier and supplier EDI tests passed</t>
  </si>
  <si>
    <t>Zero open Sev-1 defects; Sev-2 plan agreed</t>
  </si>
  <si>
    <t>Mock data load 2 reconciled</t>
  </si>
  <si>
    <t>Gate 6 — People ready</t>
  </si>
  <si>
    <t>Training content complete for all roles</t>
  </si>
  <si>
    <t>Super-users certified per process per shift</t>
  </si>
  <si>
    <t>100% of go-live associates trained and certified</t>
  </si>
  <si>
    <t>Operational dress rehearsal passed</t>
  </si>
  <si>
    <t>Go-live communications issued to stakeholders, suppliers and carriers</t>
  </si>
  <si>
    <t>Gate 7 — Go / No-Go and go-live</t>
  </si>
  <si>
    <t>Cutover runbook approved with rollback plan</t>
  </si>
  <si>
    <t>Cutover rehearsal completed within window</t>
  </si>
  <si>
    <t>Readiness assessment green across all workstreams</t>
  </si>
  <si>
    <t>Production data load reconciled and signed off</t>
  </si>
  <si>
    <t>Production code deployed and smoke tested</t>
  </si>
  <si>
    <t>Command center and escalation rota active</t>
  </si>
  <si>
    <t>First inbound receipt and outbound shipment executed</t>
  </si>
  <si>
    <t>Gate 8 — Hypercare exit and close</t>
  </si>
  <si>
    <t>Hypercare exit criteria met (defects, throughput, inventory accuracy)</t>
  </si>
  <si>
    <t>Volume ramp on plan</t>
  </si>
  <si>
    <t>Financial close and benefits baseline complete</t>
  </si>
  <si>
    <t>Vendor acceptance certificates issued; warranties started</t>
  </si>
  <si>
    <t>Handover to run organisation complete</t>
  </si>
  <si>
    <t>Lessons learned published; WBS / RAID / checklist templates updated</t>
  </si>
  <si>
    <t>All actions closed; project archived</t>
  </si>
  <si>
    <t>RAID Log — Risks, Assumptions, Issues, Dependencies</t>
  </si>
  <si>
    <t>Blue = input. Score = Probability × Impact (1–5 each). The AI Copilot proposes new entries from tasks, emails and meetings; the PM confirms them here.</t>
  </si>
  <si>
    <t>RAID ID</t>
  </si>
  <si>
    <t>Type</t>
  </si>
  <si>
    <t>Description</t>
  </si>
  <si>
    <t>Linked Task</t>
  </si>
  <si>
    <t>Raised On</t>
  </si>
  <si>
    <t>Probability (1-5)</t>
  </si>
  <si>
    <t>Impact (1-5)</t>
  </si>
  <si>
    <t>Score</t>
  </si>
  <si>
    <t>Severity</t>
  </si>
  <si>
    <t>Mitigation / Response</t>
  </si>
  <si>
    <t>Due Date</t>
  </si>
  <si>
    <t>Source</t>
  </si>
  <si>
    <t>R-001</t>
  </si>
  <si>
    <t>Risk</t>
  </si>
  <si>
    <t>MHE vendor manufacturing lead time may slip due to component shortages</t>
  </si>
  <si>
    <t>Weekly vendor milestone review; identify alternate suppliers for long-lead components; 2-week buffer in plan</t>
  </si>
  <si>
    <t>Vendor status email</t>
  </si>
  <si>
    <t>R-002</t>
  </si>
  <si>
    <t>Permit approval delays could push construction start</t>
  </si>
  <si>
    <t>Pre-submission meeting with authority; expediter engaged</t>
  </si>
  <si>
    <t>Steering committee</t>
  </si>
  <si>
    <t>A-003</t>
  </si>
  <si>
    <t>Assumption</t>
  </si>
  <si>
    <t>ERP will expose standard APIs for inventory sync without customisation</t>
  </si>
  <si>
    <t>Validate in interface design workshop; raise issue if custom work needed</t>
  </si>
  <si>
    <t>Design workshop</t>
  </si>
  <si>
    <t>D-004</t>
  </si>
  <si>
    <t>Dependency</t>
  </si>
  <si>
    <t>WMS SIT depends on WCS emulation model delivery from vendor</t>
  </si>
  <si>
    <t>Contractual milestone; emulation delivery tracked as T-032; fallback manual stubs</t>
  </si>
  <si>
    <t>AI Copilot — dependency check</t>
  </si>
  <si>
    <t>I-005</t>
  </si>
  <si>
    <t>Issue</t>
  </si>
  <si>
    <t>Wi-Fi survey identified coverage gaps in mezzanine area</t>
  </si>
  <si>
    <t>Add access points to design; revise infrastructure budget</t>
  </si>
  <si>
    <t>Site survey report</t>
  </si>
  <si>
    <t>R-006</t>
  </si>
  <si>
    <t>Local labour market may not support hiring plan for go-live headcount</t>
  </si>
  <si>
    <t>Start recruiting 4 weeks earlier; staffing agency backup; referral programme</t>
  </si>
  <si>
    <t>Hiring plan review</t>
  </si>
  <si>
    <t>D-007</t>
  </si>
  <si>
    <t>Carrier EDI testing requires carriers to have TMS lanes configured first</t>
  </si>
  <si>
    <t>Sequence T-037 before T-056; confirm carrier readiness monthly</t>
  </si>
  <si>
    <t>AI Copilot — meeting notes</t>
  </si>
  <si>
    <t>Action Log — decisions and follow-ups from meetings (AI Copilot extracts; PM confirms)</t>
  </si>
  <si>
    <t>Action ID</t>
  </si>
  <si>
    <t>Action</t>
  </si>
  <si>
    <t>Source Meeting / Date</t>
  </si>
  <si>
    <t>Closed On</t>
  </si>
  <si>
    <t>A-001</t>
  </si>
  <si>
    <t>Confirm alternate supplier options for conveyor drives</t>
  </si>
  <si>
    <t>Vendor review 20-Oct-26</t>
  </si>
  <si>
    <t>A-002</t>
  </si>
  <si>
    <t>Circulate revised Wi-Fi design with additional access points</t>
  </si>
  <si>
    <t>Infra design 22-Oct-26</t>
  </si>
  <si>
    <t>Book pre-submission meeting with permitting authority</t>
  </si>
  <si>
    <t>Steering committee 23-Oct-26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</si>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</sst>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6" x14ac:knownFonts="1">
    <font>
      <sz val="11"/>
      <color theme="1"/>
      <name val="Calibri"/>
      <family val="2"/>
      <charset val="1"/>
    </font>
    <font>
      <b/>
      <sz val="18"/>
      <color rgb="FF0F2E3D"/>
      <name val="Arial"/>
      <family val="2"/>
    </font>
    <font>
      <i/>
      <sz val="10"/>
      <color rgb="FF5F707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00FF"/>
      <name val="Arial"/>
      <family val="2"/>
    </font>
    <font>
      <i/>
      <sz val="9"/>
      <color rgb="FF5F7078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4"/>
      <color rgb="FF0F2E3D"/>
      <name val="Arial"/>
      <family val="2"/>
    </font>
    <font>
      <b/>
      <sz val="12"/>
      <color rgb="FF0F2E3D"/>
      <name val="Arial"/>
      <family val="2"/>
    </font>
    <font>
      <b/>
      <sz val="16"/>
      <color rgb="FF0F2E3D"/>
      <name val="Arial"/>
      <family val="2"/>
    </font>
    <font>
      <i/>
      <sz val="8"/>
      <color rgb="FF5F7078"/>
      <name val="Arial"/>
      <family val="2"/>
    </font>
    <font>
      <sz val="8"/>
      <color rgb="FF5F7078"/>
      <name val="Arial"/>
      <family val="2"/>
    </font>
    <font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2E3D"/>
        <bgColor rgb="FF003300"/>
      </patternFill>
    </fill>
    <fill>
      <patternFill patternType="solid">
        <fgColor rgb="FFF3F6F7"/>
        <bgColor rgb="FFE7F0F2"/>
      </patternFill>
    </fill>
    <fill>
      <patternFill patternType="solid">
        <fgColor rgb="FFFFFF00"/>
        <bgColor rgb="FFFFFF00"/>
      </patternFill>
    </fill>
    <fill>
      <patternFill patternType="solid">
        <fgColor rgb="FFE7F0F2"/>
        <bgColor rgb="FFEDEDED"/>
      </patternFill>
    </fill>
    <fill>
      <patternFill patternType="solid">
        <fgColor rgb="FF1B6F7A"/>
        <bgColor rgb="FF008080"/>
      </patternFill>
    </fill>
  </fills>
  <borders count="4">
    <border>
      <left/>
      <right/>
      <top/>
      <bottom/>
      <diagonal/>
    </border>
    <border>
      <left style="thin">
        <color rgb="FFD3DEE2"/>
      </left>
      <right style="thin">
        <color rgb="FFD3DEE2"/>
      </right>
      <top style="thin">
        <color rgb="FFD3DEE2"/>
      </top>
      <bottom style="thin">
        <color rgb="FFD3DEE2"/>
      </bottom>
      <diagonal/>
    </border>
    <border>
      <left/>
      <right/>
      <top style="thin">
        <color rgb="FFD3DEE2"/>
      </top>
      <bottom style="thin">
        <color rgb="FFD3DEE2"/>
      </bottom>
      <diagonal/>
    </border>
    <border>
      <left/>
      <right style="thin">
        <color rgb="FFD3DEE2"/>
      </right>
      <top style="thin">
        <color rgb="FFD3DEE2"/>
      </top>
      <bottom style="thin">
        <color rgb="FFD3DE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4" fillId="3" borderId="0" xfId="0" applyFont="1" applyFill="1"/>
    <xf numFmtId="0" fontId="4" fillId="4" borderId="0" xfId="0" applyFont="1" applyFill="1"/>
    <xf numFmtId="0" fontId="7" fillId="0" borderId="0" xfId="0" applyFont="1"/>
    <xf numFmtId="0" fontId="8" fillId="4" borderId="0" xfId="0" applyFont="1" applyFill="1"/>
    <xf numFmtId="164" fontId="8" fillId="4" borderId="0" xfId="0" applyNumberFormat="1" applyFont="1" applyFill="1"/>
    <xf numFmtId="164" fontId="0" fillId="3" borderId="0" xfId="0" applyNumberFormat="1" applyFill="1"/>
    <xf numFmtId="0" fontId="0" fillId="3" borderId="0" xfId="0" applyFill="1"/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9" fontId="10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vertical="top" wrapText="1"/>
    </xf>
    <xf numFmtId="9" fontId="8" fillId="0" borderId="1" xfId="0" applyNumberFormat="1" applyFont="1" applyBorder="1" applyAlignment="1">
      <alignment vertical="top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textRotation="90" wrapText="1"/>
    </xf>
    <xf numFmtId="0" fontId="5" fillId="3" borderId="1" xfId="0" applyFont="1" applyFill="1" applyBorder="1"/>
    <xf numFmtId="0" fontId="4" fillId="0" borderId="0" xfId="0" applyFont="1" applyAlignment="1">
      <alignment horizontal="center" vertical="center" wrapText="1"/>
    </xf>
    <xf numFmtId="0" fontId="3" fillId="6" borderId="1" xfId="0" applyFont="1" applyFill="1" applyBorder="1"/>
    <xf numFmtId="0" fontId="15" fillId="6" borderId="1" xfId="0" applyFont="1" applyFill="1" applyBorder="1"/>
    <xf numFmtId="0" fontId="0" fillId="6" borderId="1" xfId="0" applyFill="1" applyBorder="1"/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6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22">
    <dxf>
      <fill>
        <patternFill>
          <bgColor rgb="FFC6EFCE"/>
        </patternFill>
      </fill>
    </dxf>
    <dxf>
      <fill>
        <patternFill>
          <bgColor rgb="FFFFE599"/>
        </patternFill>
      </fill>
    </dxf>
    <dxf>
      <fill>
        <patternFill>
          <bgColor rgb="FFF4C7C3"/>
        </patternFill>
      </fill>
    </dxf>
    <dxf>
      <fill>
        <patternFill>
          <bgColor rgb="FFC2453D"/>
        </patternFill>
      </fill>
    </dxf>
    <dxf>
      <fill>
        <patternFill>
          <bgColor rgb="FF3E8E5A"/>
        </patternFill>
      </fill>
    </dxf>
    <dxf>
      <fill>
        <patternFill>
          <bgColor rgb="FFF4C7C3"/>
        </patternFill>
      </fill>
    </dxf>
    <dxf>
      <fill>
        <patternFill>
          <bgColor rgb="FFC6EFCE"/>
        </patternFill>
      </fill>
    </dxf>
    <dxf>
      <fill>
        <patternFill>
          <bgColor rgb="FFEDEDED"/>
        </patternFill>
      </fill>
    </dxf>
    <dxf>
      <fill>
        <patternFill>
          <bgColor rgb="FFCADCFC"/>
        </patternFill>
      </fill>
    </dxf>
    <dxf>
      <font>
        <b/>
        <color rgb="FF0F2E3D"/>
        <name val="Arial"/>
        <charset val="1"/>
      </font>
      <fill>
        <patternFill>
          <bgColor rgb="FFE8A33D"/>
        </patternFill>
      </fill>
    </dxf>
    <dxf>
      <font>
        <b/>
        <color rgb="FFFFFFFF"/>
        <name val="Arial"/>
        <charset val="1"/>
      </font>
      <fill>
        <patternFill>
          <bgColor rgb="FF1B6F7A"/>
        </patternFill>
      </fill>
    </dxf>
    <dxf>
      <font>
        <sz val="10"/>
        <color rgb="FF595959"/>
        <name val="Arial"/>
        <charset val="1"/>
      </font>
      <fill>
        <patternFill>
          <bgColor rgb="FFD9D9D9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7F6000"/>
        <name val="Arial"/>
        <charset val="1"/>
      </font>
      <fill>
        <patternFill>
          <bgColor rgb="FFFFE599"/>
        </patternFill>
      </fill>
    </dxf>
    <dxf>
      <font>
        <b/>
        <sz val="10"/>
        <color rgb="FF9C0006"/>
        <name val="Arial"/>
        <charset val="1"/>
      </font>
      <fill>
        <patternFill>
          <bgColor rgb="FFF4C7C3"/>
        </patternFill>
      </fill>
    </dxf>
    <dxf>
      <fill>
        <patternFill>
          <bgColor rgb="FFC6EFCE"/>
        </patternFill>
      </fill>
    </dxf>
    <dxf>
      <fill>
        <patternFill>
          <bgColor rgb="FFFFE599"/>
        </patternFill>
      </fill>
    </dxf>
    <dxf>
      <fill>
        <patternFill>
          <bgColor rgb="FFF4C7C3"/>
        </patternFill>
      </fill>
    </dxf>
    <dxf>
      <fill>
        <patternFill>
          <bgColor rgb="FFFFE599"/>
        </patternFill>
      </fill>
    </dxf>
    <dxf>
      <fill>
        <patternFill>
          <bgColor rgb="FFC6EFCE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1B6F7A"/>
      <rgbColor rgb="FFD9D9D9"/>
      <rgbColor rgb="FF808080"/>
      <rgbColor rgb="FF9999FF"/>
      <rgbColor rgb="FFC2453D"/>
      <rgbColor rgb="FFF3F6F7"/>
      <rgbColor rgb="FFE7F0F2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599"/>
      <rgbColor rgb="FFD3DEE2"/>
      <rgbColor rgb="FFFF99CC"/>
      <rgbColor rgb="FFCC99FF"/>
      <rgbColor rgb="FFF4C7C3"/>
      <rgbColor rgb="FF3366FF"/>
      <rgbColor rgb="FF33CCCC"/>
      <rgbColor rgb="FF99CC00"/>
      <rgbColor rgb="FFFFCC00"/>
      <rgbColor rgb="FFE8A33D"/>
      <rgbColor rgb="FFFF6600"/>
      <rgbColor rgb="FF5F7078"/>
      <rgbColor rgb="FF969696"/>
      <rgbColor rgb="FF0F2E3D"/>
      <rgbColor rgb="FF3E8E5A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zoomScaleNormal="100" workbookViewId="0"/>
  </sheetViews>
  <sheetFormatPr baseColWidth="10" defaultColWidth="8.6640625" defaultRowHeight="15" x14ac:dyDescent="0.2"/>
  <cols>
    <col min="1" max="1" width="26" customWidth="1"/>
    <col min="2" max="2" width="110" customWidth="1"/>
  </cols>
  <sheetData>
    <row r="1" spans="1:2" ht="22" customHeight="1" x14ac:dyDescent="0.25">
      <c r="A1" s="1" t="s">
        <v>0</v>
      </c>
    </row>
    <row r="2" spans="1:2" ht="15" customHeight="1" x14ac:dyDescent="0.2">
      <c r="A2" s="2" t="s">
        <v>1</v>
      </c>
    </row>
    <row r="4" spans="1:2" ht="15" customHeight="1" x14ac:dyDescent="0.2">
      <c r="A4" s="3" t="s">
        <v>2</v>
      </c>
      <c r="B4" s="4"/>
    </row>
    <row r="5" spans="1:2" ht="15" customHeight="1" x14ac:dyDescent="0.2">
      <c r="A5" s="5" t="s">
        <v>3</v>
      </c>
      <c r="B5" s="6" t="s">
        <v>4</v>
      </c>
    </row>
    <row r="6" spans="1:2" ht="15" customHeight="1" x14ac:dyDescent="0.2">
      <c r="A6" s="5" t="s">
        <v>5</v>
      </c>
      <c r="B6" s="6" t="s">
        <v>6</v>
      </c>
    </row>
    <row r="7" spans="1:2" ht="23.75" customHeight="1" x14ac:dyDescent="0.2">
      <c r="A7" s="5" t="s">
        <v>7</v>
      </c>
      <c r="B7" s="6" t="s">
        <v>8</v>
      </c>
    </row>
    <row r="8" spans="1:2" ht="23.75" customHeight="1" x14ac:dyDescent="0.2">
      <c r="A8" s="5" t="s">
        <v>9</v>
      </c>
      <c r="B8" s="6" t="s">
        <v>10</v>
      </c>
    </row>
    <row r="9" spans="1:2" ht="23.75" customHeight="1" x14ac:dyDescent="0.2">
      <c r="A9" s="5" t="s">
        <v>11</v>
      </c>
      <c r="B9" s="6" t="s">
        <v>12</v>
      </c>
    </row>
    <row r="10" spans="1:2" ht="15" customHeight="1" x14ac:dyDescent="0.2">
      <c r="A10" s="5" t="s">
        <v>13</v>
      </c>
      <c r="B10" s="6" t="s">
        <v>14</v>
      </c>
    </row>
    <row r="11" spans="1:2" ht="15" customHeight="1" x14ac:dyDescent="0.2">
      <c r="A11" s="5" t="s">
        <v>15</v>
      </c>
      <c r="B11" s="6" t="s">
        <v>16</v>
      </c>
    </row>
    <row r="12" spans="1:2" ht="15" customHeight="1" x14ac:dyDescent="0.2">
      <c r="A12" s="5" t="s">
        <v>17</v>
      </c>
      <c r="B12" s="6" t="s">
        <v>18</v>
      </c>
    </row>
    <row r="13" spans="1:2" ht="15" customHeight="1" x14ac:dyDescent="0.2">
      <c r="A13" s="5"/>
      <c r="B13" s="6"/>
    </row>
    <row r="14" spans="1:2" ht="15" customHeight="1" x14ac:dyDescent="0.2">
      <c r="A14" s="3" t="s">
        <v>19</v>
      </c>
      <c r="B14" s="4"/>
    </row>
    <row r="15" spans="1:2" ht="15" customHeight="1" x14ac:dyDescent="0.2">
      <c r="A15" s="7" t="s">
        <v>20</v>
      </c>
      <c r="B15" s="6" t="s">
        <v>21</v>
      </c>
    </row>
    <row r="16" spans="1:2" ht="15" customHeight="1" x14ac:dyDescent="0.2">
      <c r="A16" s="8" t="s">
        <v>22</v>
      </c>
      <c r="B16" s="6" t="s">
        <v>23</v>
      </c>
    </row>
    <row r="17" spans="1:2" ht="15" customHeight="1" x14ac:dyDescent="0.2">
      <c r="A17" s="9" t="s">
        <v>24</v>
      </c>
      <c r="B17" s="6" t="s">
        <v>25</v>
      </c>
    </row>
    <row r="18" spans="1:2" ht="15" customHeight="1" x14ac:dyDescent="0.2">
      <c r="A18" s="5" t="s">
        <v>26</v>
      </c>
      <c r="B18" s="6" t="s">
        <v>27</v>
      </c>
    </row>
    <row r="19" spans="1:2" ht="15" customHeight="1" x14ac:dyDescent="0.2">
      <c r="A19" s="5"/>
      <c r="B19" s="6"/>
    </row>
    <row r="20" spans="1:2" ht="15" customHeight="1" x14ac:dyDescent="0.2">
      <c r="A20" s="3" t="s">
        <v>28</v>
      </c>
      <c r="B20" s="4"/>
    </row>
    <row r="21" spans="1:2" ht="15" customHeight="1" x14ac:dyDescent="0.2">
      <c r="A21" s="5" t="s">
        <v>29</v>
      </c>
      <c r="B21" s="6" t="s">
        <v>30</v>
      </c>
    </row>
    <row r="22" spans="1:2" ht="15" customHeight="1" x14ac:dyDescent="0.2">
      <c r="A22" s="5" t="s">
        <v>31</v>
      </c>
      <c r="B22" s="6" t="s">
        <v>32</v>
      </c>
    </row>
    <row r="23" spans="1:2" ht="15" customHeight="1" x14ac:dyDescent="0.2">
      <c r="A23" s="5" t="s">
        <v>33</v>
      </c>
      <c r="B23" s="6" t="s">
        <v>34</v>
      </c>
    </row>
    <row r="24" spans="1:2" ht="15" customHeight="1" x14ac:dyDescent="0.2">
      <c r="A24" s="5" t="s">
        <v>35</v>
      </c>
      <c r="B24" s="6" t="s">
        <v>36</v>
      </c>
    </row>
    <row r="25" spans="1:2" ht="15" customHeight="1" x14ac:dyDescent="0.2">
      <c r="A25" s="5"/>
      <c r="B25" s="6"/>
    </row>
    <row r="26" spans="1:2" ht="15" customHeight="1" x14ac:dyDescent="0.2">
      <c r="A26" s="3" t="s">
        <v>37</v>
      </c>
      <c r="B26" s="4"/>
    </row>
    <row r="27" spans="1:2" ht="23.75" customHeight="1" x14ac:dyDescent="0.2">
      <c r="A27" s="5" t="s">
        <v>38</v>
      </c>
      <c r="B27" s="6" t="s">
        <v>39</v>
      </c>
    </row>
    <row r="28" spans="1:2" ht="15" customHeight="1" x14ac:dyDescent="0.2">
      <c r="A28" s="5" t="s">
        <v>40</v>
      </c>
      <c r="B28" s="6" t="s">
        <v>41</v>
      </c>
    </row>
    <row r="29" spans="1:2" ht="15" customHeight="1" x14ac:dyDescent="0.2">
      <c r="A29" s="5" t="s">
        <v>42</v>
      </c>
      <c r="B29" s="6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showGridLines="0" tabSelected="1" zoomScaleNormal="100" workbookViewId="0">
      <pane ySplit="3" topLeftCell="A5" activePane="bottomLeft" state="frozen"/>
      <selection pane="bottomLeft" activeCell="J22" sqref="J22"/>
    </sheetView>
  </sheetViews>
  <sheetFormatPr baseColWidth="10" defaultColWidth="8.6640625" defaultRowHeight="15" x14ac:dyDescent="0.2"/>
  <cols>
    <col min="1" max="1" width="30" customWidth="1"/>
    <col min="2" max="10" width="14" customWidth="1"/>
  </cols>
  <sheetData>
    <row r="1" spans="1:10" ht="23" x14ac:dyDescent="0.25">
      <c r="A1" s="1" t="s">
        <v>44</v>
      </c>
    </row>
    <row r="2" spans="1:10" x14ac:dyDescent="0.2">
      <c r="A2" s="10" t="s">
        <v>45</v>
      </c>
    </row>
    <row r="4" spans="1:10" x14ac:dyDescent="0.2">
      <c r="A4" s="5" t="s">
        <v>46</v>
      </c>
      <c r="B4" s="11" t="s">
        <v>47</v>
      </c>
    </row>
    <row r="5" spans="1:10" x14ac:dyDescent="0.2">
      <c r="A5" s="5" t="s">
        <v>48</v>
      </c>
      <c r="B5" s="12">
        <v>46300</v>
      </c>
    </row>
    <row r="6" spans="1:10" x14ac:dyDescent="0.2">
      <c r="A6" s="5" t="s">
        <v>49</v>
      </c>
      <c r="B6" s="13">
        <f>MAX('Master Plan'!L5:L85)</f>
        <v>46663</v>
      </c>
    </row>
    <row r="7" spans="1:10" x14ac:dyDescent="0.2">
      <c r="A7" s="5" t="s">
        <v>50</v>
      </c>
      <c r="B7" s="13">
        <f ca="1">TODAY()</f>
        <v>46276</v>
      </c>
    </row>
    <row r="8" spans="1:10" x14ac:dyDescent="0.2">
      <c r="A8" s="5" t="s">
        <v>51</v>
      </c>
      <c r="B8" s="14">
        <f ca="1">B6-B7</f>
        <v>387</v>
      </c>
    </row>
    <row r="10" spans="1:10" ht="28" x14ac:dyDescent="0.2">
      <c r="B10" s="15" t="s">
        <v>52</v>
      </c>
      <c r="C10" s="15" t="s">
        <v>53</v>
      </c>
      <c r="D10" s="15" t="s">
        <v>54</v>
      </c>
      <c r="E10" s="15" t="s">
        <v>55</v>
      </c>
      <c r="F10" s="15" t="s">
        <v>56</v>
      </c>
      <c r="G10" s="15" t="s">
        <v>57</v>
      </c>
      <c r="H10" s="15" t="s">
        <v>58</v>
      </c>
      <c r="I10" s="15" t="s">
        <v>59</v>
      </c>
      <c r="J10" s="15" t="s">
        <v>60</v>
      </c>
    </row>
    <row r="11" spans="1:10" ht="18" x14ac:dyDescent="0.2">
      <c r="B11" s="16">
        <f>COUNTA('Master Plan'!A5:A185)</f>
        <v>81</v>
      </c>
      <c r="C11" s="16">
        <f>COUNTIF('Master Plan'!N5:N185,"Complete")</f>
        <v>5</v>
      </c>
      <c r="D11" s="17">
        <f>IF(B11=0,0,C11/B11)</f>
        <v>6.1728395061728392E-2</v>
      </c>
      <c r="E11" s="16">
        <f>COUNTIF('Master Plan'!N5:N185,"In Progress")</f>
        <v>3</v>
      </c>
      <c r="F11" s="16">
        <f>COUNTIF('Master Plan'!N5:N185,"At Risk")+COUNTIF('Master Plan'!N5:N185,"Blocked")</f>
        <v>0</v>
      </c>
      <c r="G11" s="16">
        <f ca="1">COUNTIF('Master Plan'!T5:T185,"&gt;0")</f>
        <v>0</v>
      </c>
      <c r="H11" s="16">
        <f>COUNTIF('RAID Log'!N5:N200,"Open")+COUNTIF('RAID Log'!N5:N200,"In Progress")</f>
        <v>7</v>
      </c>
      <c r="I11" s="16">
        <f>COUNTIFS('RAID Log'!K5:K200,"High",'RAID Log'!N5:N200,"Open")+COUNTIFS('RAID Log'!K5:K200,"High",'RAID Log'!N5:N200,"In Progress")</f>
        <v>2</v>
      </c>
      <c r="J11" s="16">
        <f>COUNTIF('Action Log'!G5:G200,"Open")+COUNTIF('Action Log'!G5:G200,"In Progress")</f>
        <v>2</v>
      </c>
    </row>
    <row r="13" spans="1:10" ht="16" x14ac:dyDescent="0.2">
      <c r="A13" s="18" t="s">
        <v>61</v>
      </c>
    </row>
    <row r="14" spans="1:10" ht="28" x14ac:dyDescent="0.2">
      <c r="A14" s="15" t="s">
        <v>62</v>
      </c>
      <c r="B14" s="15" t="s">
        <v>63</v>
      </c>
      <c r="C14" s="15" t="s">
        <v>53</v>
      </c>
      <c r="D14" s="15" t="s">
        <v>54</v>
      </c>
      <c r="E14" s="15" t="s">
        <v>64</v>
      </c>
      <c r="F14" s="15" t="s">
        <v>65</v>
      </c>
      <c r="G14" s="15" t="s">
        <v>66</v>
      </c>
      <c r="H14" s="15" t="s">
        <v>67</v>
      </c>
      <c r="I14" s="15" t="s">
        <v>68</v>
      </c>
      <c r="J14" s="15" t="s">
        <v>69</v>
      </c>
    </row>
    <row r="15" spans="1:10" x14ac:dyDescent="0.2">
      <c r="A15" s="19" t="s">
        <v>70</v>
      </c>
      <c r="B15" s="20">
        <f>COUNTIF('Master Plan'!B5:B185,A15)</f>
        <v>7</v>
      </c>
      <c r="C15" s="20">
        <v>7</v>
      </c>
      <c r="D15" s="21">
        <f t="shared" ref="D15:D23" si="0">IF(B15=0,0,C15/B15)</f>
        <v>1</v>
      </c>
      <c r="E15" s="20">
        <v>0</v>
      </c>
      <c r="F15" s="20">
        <f>COUNTIFS('Master Plan'!B5:B185,A15,'Master Plan'!N5:N185,"At Risk")+COUNTIFS('Master Plan'!B5:B185,A15,'Master Plan'!N5:N185,"Blocked")</f>
        <v>0</v>
      </c>
      <c r="G15" s="20">
        <f ca="1">COUNTIFS('Master Plan'!B5:B185,A15,'Master Plan'!T5:T185,"&gt;0")</f>
        <v>0</v>
      </c>
      <c r="H15" s="22">
        <f>IF(B15=0,"",SUMPRODUCT(MIN(('Master Plan'!B5:B185=A15)*'Master Plan'!K5:K185+('Master Plan'!B5:B185&lt;&gt;A15)*99999)))</f>
        <v>46300</v>
      </c>
      <c r="I15" s="22">
        <f>IF(B15=0,"",SUMPRODUCT(MAX(('Master Plan'!B5:B185=A15)*'Master Plan'!L5:L185)))</f>
        <v>46327</v>
      </c>
      <c r="J15" s="20" t="str">
        <f>'Gate Checklists'!F5</f>
        <v>PASSED</v>
      </c>
    </row>
    <row r="16" spans="1:10" x14ac:dyDescent="0.2">
      <c r="A16" s="19" t="s">
        <v>71</v>
      </c>
      <c r="B16" s="20">
        <f>COUNTIF('Master Plan'!B5:B185,A16)</f>
        <v>16</v>
      </c>
      <c r="C16" s="20">
        <v>16</v>
      </c>
      <c r="D16" s="21">
        <f t="shared" si="0"/>
        <v>1</v>
      </c>
      <c r="E16" s="20">
        <v>0</v>
      </c>
      <c r="F16" s="20">
        <f>COUNTIFS('Master Plan'!B5:B185,A16,'Master Plan'!N5:N185,"At Risk")+COUNTIFS('Master Plan'!B5:B185,A16,'Master Plan'!N5:N185,"Blocked")</f>
        <v>0</v>
      </c>
      <c r="G16" s="20">
        <f ca="1">COUNTIFS('Master Plan'!B5:B185,A16,'Master Plan'!T5:T185,"&gt;0")</f>
        <v>0</v>
      </c>
      <c r="H16" s="22">
        <f>IF(B16=0,"",SUMPRODUCT(MIN(('Master Plan'!B5:B185=A16)*'Master Plan'!K5:K185+('Master Plan'!B5:B185&lt;&gt;A16)*99999)))</f>
        <v>46321</v>
      </c>
      <c r="I16" s="22">
        <f>IF(B16=0,"",SUMPRODUCT(MAX(('Master Plan'!B5:B185=A16)*'Master Plan'!L5:L185)))</f>
        <v>46383</v>
      </c>
      <c r="J16" s="20" t="s">
        <v>681</v>
      </c>
    </row>
    <row r="17" spans="1:10" x14ac:dyDescent="0.2">
      <c r="A17" s="19" t="s">
        <v>72</v>
      </c>
      <c r="B17" s="20">
        <f>COUNTIF('Master Plan'!B5:B185,A17)</f>
        <v>17</v>
      </c>
      <c r="C17" s="20">
        <v>17</v>
      </c>
      <c r="D17" s="21">
        <f t="shared" si="0"/>
        <v>1</v>
      </c>
      <c r="E17" s="20">
        <f>COUNTIFS('Master Plan'!B5:B185,A17,'Master Plan'!N5:N185,"In Progress")</f>
        <v>0</v>
      </c>
      <c r="F17" s="20">
        <f>COUNTIFS('Master Plan'!B5:B185,A17,'Master Plan'!N5:N185,"At Risk")+COUNTIFS('Master Plan'!B5:B185,A17,'Master Plan'!N5:N185,"Blocked")</f>
        <v>0</v>
      </c>
      <c r="G17" s="20">
        <f ca="1">COUNTIFS('Master Plan'!B5:B185,A17,'Master Plan'!T5:T185,"&gt;0")</f>
        <v>0</v>
      </c>
      <c r="H17" s="22">
        <f>IF(B17=0,"",SUMPRODUCT(MIN(('Master Plan'!B5:B185=A17)*'Master Plan'!K5:K185+('Master Plan'!B5:B185&lt;&gt;A17)*99999)))</f>
        <v>46384</v>
      </c>
      <c r="I17" s="22">
        <f>IF(B17=0,"",SUMPRODUCT(MAX(('Master Plan'!B5:B185=A17)*'Master Plan'!L5:L185)))</f>
        <v>46481</v>
      </c>
      <c r="J17" s="20" t="s">
        <v>681</v>
      </c>
    </row>
    <row r="18" spans="1:10" x14ac:dyDescent="0.2">
      <c r="A18" s="19" t="s">
        <v>73</v>
      </c>
      <c r="B18" s="20">
        <f>COUNTIF('Master Plan'!B5:B185,A18)</f>
        <v>9</v>
      </c>
      <c r="C18" s="20">
        <v>9</v>
      </c>
      <c r="D18" s="21">
        <f t="shared" si="0"/>
        <v>1</v>
      </c>
      <c r="E18" s="20">
        <f>COUNTIFS('Master Plan'!B5:B185,A18,'Master Plan'!N5:N185,"In Progress")</f>
        <v>0</v>
      </c>
      <c r="F18" s="20">
        <f>COUNTIFS('Master Plan'!B5:B185,A18,'Master Plan'!N5:N185,"At Risk")+COUNTIFS('Master Plan'!B5:B185,A18,'Master Plan'!N5:N185,"Blocked")</f>
        <v>0</v>
      </c>
      <c r="G18" s="20">
        <f ca="1">COUNTIFS('Master Plan'!B5:B185,A18,'Master Plan'!T5:T185,"&gt;0")</f>
        <v>0</v>
      </c>
      <c r="H18" s="22">
        <f>IF(B18=0,"",SUMPRODUCT(MIN(('Master Plan'!B5:B185=A18)*'Master Plan'!K5:K185+('Master Plan'!B5:B185&lt;&gt;A18)*99999)))</f>
        <v>46468</v>
      </c>
      <c r="I18" s="22">
        <f>IF(B18=0,"",SUMPRODUCT(MAX(('Master Plan'!B5:B185=A18)*'Master Plan'!L5:L185)))</f>
        <v>46544</v>
      </c>
      <c r="J18" s="20" t="s">
        <v>681</v>
      </c>
    </row>
    <row r="19" spans="1:10" x14ac:dyDescent="0.2">
      <c r="A19" s="19" t="s">
        <v>74</v>
      </c>
      <c r="B19" s="20">
        <f>COUNTIF('Master Plan'!B5:B185,A19)</f>
        <v>9</v>
      </c>
      <c r="C19" s="20">
        <v>9</v>
      </c>
      <c r="D19" s="21">
        <f t="shared" si="0"/>
        <v>1</v>
      </c>
      <c r="E19" s="20">
        <f>COUNTIFS('Master Plan'!B5:B185,A19,'Master Plan'!N5:N185,"In Progress")</f>
        <v>0</v>
      </c>
      <c r="F19" s="20">
        <f>COUNTIFS('Master Plan'!B5:B185,A19,'Master Plan'!N5:N185,"At Risk")+COUNTIFS('Master Plan'!B5:B185,A19,'Master Plan'!N5:N185,"Blocked")</f>
        <v>0</v>
      </c>
      <c r="G19" s="20">
        <f ca="1">COUNTIFS('Master Plan'!B5:B185,A19,'Master Plan'!T5:T185,"&gt;0")</f>
        <v>0</v>
      </c>
      <c r="H19" s="22">
        <f>IF(B19=0,"",SUMPRODUCT(MIN(('Master Plan'!B5:B185=A19)*'Master Plan'!K5:K185+('Master Plan'!B5:B185&lt;&gt;A19)*99999)))</f>
        <v>46482</v>
      </c>
      <c r="I19" s="22">
        <f>IF(B19=0,"",SUMPRODUCT(MAX(('Master Plan'!B5:B185=A19)*'Master Plan'!L5:L185)))</f>
        <v>46579</v>
      </c>
      <c r="J19" s="20" t="s">
        <v>681</v>
      </c>
    </row>
    <row r="20" spans="1:10" x14ac:dyDescent="0.2">
      <c r="A20" s="19" t="s">
        <v>75</v>
      </c>
      <c r="B20" s="20">
        <f>COUNTIF('Master Plan'!B5:B185,A20)</f>
        <v>7</v>
      </c>
      <c r="C20" s="20">
        <v>7</v>
      </c>
      <c r="D20" s="21">
        <f t="shared" si="0"/>
        <v>1</v>
      </c>
      <c r="E20" s="20">
        <f>COUNTIFS('Master Plan'!B5:B185,A20,'Master Plan'!N5:N185,"In Progress")</f>
        <v>0</v>
      </c>
      <c r="F20" s="20">
        <f>COUNTIFS('Master Plan'!B5:B185,A20,'Master Plan'!N5:N185,"At Risk")+COUNTIFS('Master Plan'!B5:B185,A20,'Master Plan'!N5:N185,"Blocked")</f>
        <v>0</v>
      </c>
      <c r="G20" s="20">
        <f ca="1">COUNTIFS('Master Plan'!B5:B185,A20,'Master Plan'!T5:T185,"&gt;0")</f>
        <v>0</v>
      </c>
      <c r="H20" s="22">
        <f>IF(B20=0,"",SUMPRODUCT(MIN(('Master Plan'!B5:B185=A20)*'Master Plan'!K5:K185+('Master Plan'!B5:B185&lt;&gt;A20)*99999)))</f>
        <v>46510</v>
      </c>
      <c r="I20" s="22">
        <f>IF(B20=0,"",SUMPRODUCT(MAX(('Master Plan'!B5:B185=A20)*'Master Plan'!L5:L185)))</f>
        <v>46593</v>
      </c>
      <c r="J20" s="20" t="s">
        <v>681</v>
      </c>
    </row>
    <row r="21" spans="1:10" x14ac:dyDescent="0.2">
      <c r="A21" s="19" t="s">
        <v>76</v>
      </c>
      <c r="B21" s="20">
        <f>COUNTIF('Master Plan'!B5:B185,A21)</f>
        <v>9</v>
      </c>
      <c r="C21" s="20">
        <v>9</v>
      </c>
      <c r="D21" s="21">
        <f t="shared" si="0"/>
        <v>1</v>
      </c>
      <c r="E21" s="20">
        <f>COUNTIFS('Master Plan'!B5:B185,A21,'Master Plan'!N5:N185,"In Progress")</f>
        <v>0</v>
      </c>
      <c r="F21" s="20">
        <f>COUNTIFS('Master Plan'!B5:B185,A21,'Master Plan'!N5:N185,"At Risk")+COUNTIFS('Master Plan'!B5:B185,A21,'Master Plan'!N5:N185,"Blocked")</f>
        <v>0</v>
      </c>
      <c r="G21" s="20">
        <f ca="1">COUNTIFS('Master Plan'!B5:B185,A21,'Master Plan'!T5:T185,"&gt;0")</f>
        <v>0</v>
      </c>
      <c r="H21" s="22">
        <f>IF(B21=0,"",SUMPRODUCT(MIN(('Master Plan'!B5:B185=A21)*'Master Plan'!K5:K185+('Master Plan'!B5:B185&lt;&gt;A21)*99999)))</f>
        <v>46566</v>
      </c>
      <c r="I21" s="22">
        <f>IF(B21=0,"",SUMPRODUCT(MAX(('Master Plan'!B5:B185=A21)*'Master Plan'!L5:L185)))</f>
        <v>46614</v>
      </c>
      <c r="J21" s="20" t="s">
        <v>681</v>
      </c>
    </row>
    <row r="22" spans="1:10" ht="28" x14ac:dyDescent="0.2">
      <c r="A22" s="19" t="s">
        <v>77</v>
      </c>
      <c r="B22" s="20">
        <f>COUNTIF('Master Plan'!B5:B185,A22)</f>
        <v>7</v>
      </c>
      <c r="C22" s="20">
        <f>COUNTIFS('Master Plan'!B5:B185,A22,'Master Plan'!N5:N185,"Complete")</f>
        <v>0</v>
      </c>
      <c r="D22" s="21">
        <f t="shared" si="0"/>
        <v>0</v>
      </c>
      <c r="E22" s="20">
        <f>COUNTIFS('Master Plan'!B5:B185,A22,'Master Plan'!N5:N185,"In Progress")</f>
        <v>0</v>
      </c>
      <c r="F22" s="20">
        <f>COUNTIFS('Master Plan'!B5:B185,A22,'Master Plan'!N5:N185,"At Risk")+COUNTIFS('Master Plan'!B5:B185,A22,'Master Plan'!N5:N185,"Blocked")</f>
        <v>0</v>
      </c>
      <c r="G22" s="20">
        <f ca="1">COUNTIFS('Master Plan'!B5:B185,A22,'Master Plan'!T5:T185,"&gt;0")</f>
        <v>0</v>
      </c>
      <c r="H22" s="22">
        <f>IF(B22=0,"",SUMPRODUCT(MIN(('Master Plan'!B5:B185=A22)*'Master Plan'!K5:K185+('Master Plan'!B5:B185&lt;&gt;A22)*99999)))</f>
        <v>46608</v>
      </c>
      <c r="I22" s="22">
        <f>IF(B22=0,"",SUMPRODUCT(MAX(('Master Plan'!B5:B185=A22)*'Master Plan'!L5:L185)))</f>
        <v>46663</v>
      </c>
      <c r="J22" s="20" t="str">
        <f>'Gate Checklists'!F67</f>
        <v>OPEN — 7 item(s)</v>
      </c>
    </row>
    <row r="23" spans="1:10" x14ac:dyDescent="0.2">
      <c r="A23" s="23" t="s">
        <v>78</v>
      </c>
      <c r="B23" s="24">
        <f>SUM(B15:B22)</f>
        <v>81</v>
      </c>
      <c r="C23" s="24">
        <f>SUM(C15:C22)</f>
        <v>74</v>
      </c>
      <c r="D23" s="25">
        <f t="shared" si="0"/>
        <v>0.9135802469135802</v>
      </c>
      <c r="E23" s="24">
        <f>SUM(E15:E22)</f>
        <v>0</v>
      </c>
      <c r="F23" s="24">
        <f>SUM(F15:F22)</f>
        <v>0</v>
      </c>
      <c r="G23" s="24">
        <f ca="1">SUM(G15:G22)</f>
        <v>0</v>
      </c>
    </row>
    <row r="25" spans="1:10" ht="16" x14ac:dyDescent="0.2">
      <c r="A25" s="18" t="s">
        <v>79</v>
      </c>
    </row>
    <row r="26" spans="1:10" ht="28" x14ac:dyDescent="0.2">
      <c r="A26" s="15" t="s">
        <v>80</v>
      </c>
      <c r="B26" s="15" t="s">
        <v>63</v>
      </c>
      <c r="C26" s="15" t="s">
        <v>53</v>
      </c>
      <c r="D26" s="15" t="s">
        <v>54</v>
      </c>
      <c r="E26" s="15" t="s">
        <v>64</v>
      </c>
      <c r="F26" s="15" t="s">
        <v>65</v>
      </c>
      <c r="G26" s="15" t="s">
        <v>66</v>
      </c>
    </row>
    <row r="27" spans="1:10" x14ac:dyDescent="0.2">
      <c r="A27" s="19" t="s">
        <v>81</v>
      </c>
      <c r="B27" s="20">
        <f>COUNTIF('Master Plan'!C5:C185,A27)</f>
        <v>6</v>
      </c>
      <c r="C27" s="20">
        <v>5</v>
      </c>
      <c r="D27" s="21">
        <f t="shared" ref="D27:D42" si="1">IF(B27=0,0,C27/B27)</f>
        <v>0.83333333333333337</v>
      </c>
      <c r="E27" s="20">
        <f>COUNTIFS('Master Plan'!C5:C185,A27,'Master Plan'!N5:N185,"In Progress")</f>
        <v>0</v>
      </c>
      <c r="F27" s="20">
        <f>COUNTIFS('Master Plan'!C5:C185,A27,'Master Plan'!N5:N185,"At Risk")+COUNTIFS('Master Plan'!C5:C185,A27,'Master Plan'!N5:N185,"Blocked")</f>
        <v>0</v>
      </c>
      <c r="G27" s="20">
        <f ca="1">COUNTIFS('Master Plan'!C5:C185,A27,'Master Plan'!T5:T185,"&gt;0")</f>
        <v>0</v>
      </c>
    </row>
    <row r="28" spans="1:10" x14ac:dyDescent="0.2">
      <c r="A28" s="19" t="s">
        <v>82</v>
      </c>
      <c r="B28" s="20">
        <f>COUNTIF('Master Plan'!C5:C185,A28)</f>
        <v>5</v>
      </c>
      <c r="C28" s="20">
        <f>COUNTIFS('Master Plan'!C5:C185,A28,'Master Plan'!N5:N185,"Complete")</f>
        <v>0</v>
      </c>
      <c r="D28" s="21">
        <f t="shared" si="1"/>
        <v>0</v>
      </c>
      <c r="E28" s="20">
        <f>COUNTIFS('Master Plan'!C5:C185,A28,'Master Plan'!N5:N185,"In Progress")</f>
        <v>0</v>
      </c>
      <c r="F28" s="20">
        <f>COUNTIFS('Master Plan'!C5:C185,A28,'Master Plan'!N5:N185,"At Risk")+COUNTIFS('Master Plan'!C5:C185,A28,'Master Plan'!N5:N185,"Blocked")</f>
        <v>0</v>
      </c>
      <c r="G28" s="20">
        <f ca="1">COUNTIFS('Master Plan'!C5:C185,A28,'Master Plan'!T5:T185,"&gt;0")</f>
        <v>0</v>
      </c>
    </row>
    <row r="29" spans="1:10" x14ac:dyDescent="0.2">
      <c r="A29" s="19" t="s">
        <v>83</v>
      </c>
      <c r="B29" s="20">
        <f>COUNTIF('Master Plan'!C5:C185,A29)</f>
        <v>4</v>
      </c>
      <c r="C29" s="20">
        <f>COUNTIFS('Master Plan'!C5:C185,A29,'Master Plan'!N5:N185,"Complete")</f>
        <v>0</v>
      </c>
      <c r="D29" s="21">
        <f t="shared" si="1"/>
        <v>0</v>
      </c>
      <c r="E29" s="20">
        <f>COUNTIFS('Master Plan'!C5:C185,A29,'Master Plan'!N5:N185,"In Progress")</f>
        <v>0</v>
      </c>
      <c r="F29" s="20">
        <f>COUNTIFS('Master Plan'!C5:C185,A29,'Master Plan'!N5:N185,"At Risk")+COUNTIFS('Master Plan'!C5:C185,A29,'Master Plan'!N5:N185,"Blocked")</f>
        <v>0</v>
      </c>
      <c r="G29" s="20">
        <f ca="1">COUNTIFS('Master Plan'!C5:C185,A29,'Master Plan'!T5:T185,"&gt;0")</f>
        <v>0</v>
      </c>
    </row>
    <row r="30" spans="1:10" x14ac:dyDescent="0.2">
      <c r="A30" s="19" t="s">
        <v>84</v>
      </c>
      <c r="B30" s="20">
        <f>COUNTIF('Master Plan'!C5:C185,A30)</f>
        <v>3</v>
      </c>
      <c r="C30" s="20">
        <v>2</v>
      </c>
      <c r="D30" s="21">
        <f t="shared" si="1"/>
        <v>0.66666666666666663</v>
      </c>
      <c r="E30" s="20">
        <f>COUNTIFS('Master Plan'!C5:C185,A30,'Master Plan'!N5:N185,"In Progress")</f>
        <v>0</v>
      </c>
      <c r="F30" s="20">
        <f>COUNTIFS('Master Plan'!C5:C185,A30,'Master Plan'!N5:N185,"At Risk")+COUNTIFS('Master Plan'!C5:C185,A30,'Master Plan'!N5:N185,"Blocked")</f>
        <v>0</v>
      </c>
      <c r="G30" s="20">
        <f ca="1">COUNTIFS('Master Plan'!C5:C185,A30,'Master Plan'!T5:T185,"&gt;0")</f>
        <v>0</v>
      </c>
    </row>
    <row r="31" spans="1:10" x14ac:dyDescent="0.2">
      <c r="A31" s="19" t="s">
        <v>85</v>
      </c>
      <c r="B31" s="20">
        <f>COUNTIF('Master Plan'!C5:C185,A31)</f>
        <v>3</v>
      </c>
      <c r="C31" s="20">
        <f>COUNTIFS('Master Plan'!C5:C185,A31,'Master Plan'!N5:N185,"Complete")</f>
        <v>0</v>
      </c>
      <c r="D31" s="21">
        <f t="shared" si="1"/>
        <v>0</v>
      </c>
      <c r="E31" s="20">
        <f>COUNTIFS('Master Plan'!C5:C185,A31,'Master Plan'!N5:N185,"In Progress")</f>
        <v>0</v>
      </c>
      <c r="F31" s="20">
        <f>COUNTIFS('Master Plan'!C5:C185,A31,'Master Plan'!N5:N185,"At Risk")+COUNTIFS('Master Plan'!C5:C185,A31,'Master Plan'!N5:N185,"Blocked")</f>
        <v>0</v>
      </c>
      <c r="G31" s="20">
        <f ca="1">COUNTIFS('Master Plan'!C5:C185,A31,'Master Plan'!T5:T185,"&gt;0")</f>
        <v>0</v>
      </c>
    </row>
    <row r="32" spans="1:10" x14ac:dyDescent="0.2">
      <c r="A32" s="19" t="s">
        <v>86</v>
      </c>
      <c r="B32" s="20">
        <f>COUNTIF('Master Plan'!C5:C185,A32)</f>
        <v>3</v>
      </c>
      <c r="C32" s="20">
        <f>COUNTIFS('Master Plan'!C5:C185,A32,'Master Plan'!N5:N185,"Complete")</f>
        <v>0</v>
      </c>
      <c r="D32" s="21">
        <f t="shared" si="1"/>
        <v>0</v>
      </c>
      <c r="E32" s="20">
        <f>COUNTIFS('Master Plan'!C5:C185,A32,'Master Plan'!N5:N185,"In Progress")</f>
        <v>0</v>
      </c>
      <c r="F32" s="20">
        <f>COUNTIFS('Master Plan'!C5:C185,A32,'Master Plan'!N5:N185,"At Risk")+COUNTIFS('Master Plan'!C5:C185,A32,'Master Plan'!N5:N185,"Blocked")</f>
        <v>0</v>
      </c>
      <c r="G32" s="20">
        <f ca="1">COUNTIFS('Master Plan'!C5:C185,A32,'Master Plan'!T5:T185,"&gt;0")</f>
        <v>0</v>
      </c>
    </row>
    <row r="33" spans="1:7" x14ac:dyDescent="0.2">
      <c r="A33" s="19" t="s">
        <v>87</v>
      </c>
      <c r="B33" s="20">
        <f>COUNTIF('Master Plan'!C5:C185,A33)</f>
        <v>9</v>
      </c>
      <c r="C33" s="20">
        <f>COUNTIFS('Master Plan'!C5:C185,A33,'Master Plan'!N5:N185,"Complete")</f>
        <v>0</v>
      </c>
      <c r="D33" s="21">
        <f t="shared" si="1"/>
        <v>0</v>
      </c>
      <c r="E33" s="20">
        <f>COUNTIFS('Master Plan'!C5:C185,A33,'Master Plan'!N5:N185,"In Progress")</f>
        <v>0</v>
      </c>
      <c r="F33" s="20">
        <f>COUNTIFS('Master Plan'!C5:C185,A33,'Master Plan'!N5:N185,"At Risk")+COUNTIFS('Master Plan'!C5:C185,A33,'Master Plan'!N5:N185,"Blocked")</f>
        <v>0</v>
      </c>
      <c r="G33" s="20">
        <f ca="1">COUNTIFS('Master Plan'!C5:C185,A33,'Master Plan'!T5:T185,"&gt;0")</f>
        <v>0</v>
      </c>
    </row>
    <row r="34" spans="1:7" x14ac:dyDescent="0.2">
      <c r="A34" s="19" t="s">
        <v>88</v>
      </c>
      <c r="B34" s="20">
        <f>COUNTIF('Master Plan'!C5:C185,A34)</f>
        <v>8</v>
      </c>
      <c r="C34" s="20">
        <f>COUNTIFS('Master Plan'!C5:C185,A34,'Master Plan'!N5:N185,"Complete")</f>
        <v>0</v>
      </c>
      <c r="D34" s="21">
        <f t="shared" si="1"/>
        <v>0</v>
      </c>
      <c r="E34" s="20">
        <f>COUNTIFS('Master Plan'!C5:C185,A34,'Master Plan'!N5:N185,"In Progress")</f>
        <v>0</v>
      </c>
      <c r="F34" s="20">
        <f>COUNTIFS('Master Plan'!C5:C185,A34,'Master Plan'!N5:N185,"At Risk")+COUNTIFS('Master Plan'!C5:C185,A34,'Master Plan'!N5:N185,"Blocked")</f>
        <v>0</v>
      </c>
      <c r="G34" s="20">
        <f ca="1">COUNTIFS('Master Plan'!C5:C185,A34,'Master Plan'!T5:T185,"&gt;0")</f>
        <v>0</v>
      </c>
    </row>
    <row r="35" spans="1:7" x14ac:dyDescent="0.2">
      <c r="A35" s="19" t="s">
        <v>89</v>
      </c>
      <c r="B35" s="20">
        <f>COUNTIF('Master Plan'!C5:C185,A35)</f>
        <v>16</v>
      </c>
      <c r="C35" s="20">
        <v>10</v>
      </c>
      <c r="D35" s="21">
        <f t="shared" si="1"/>
        <v>0.625</v>
      </c>
      <c r="E35" s="20">
        <f>COUNTIFS('Master Plan'!C5:C185,A35,'Master Plan'!N5:N185,"In Progress")</f>
        <v>2</v>
      </c>
      <c r="F35" s="20">
        <f>COUNTIFS('Master Plan'!C5:C185,A35,'Master Plan'!N5:N185,"At Risk")+COUNTIFS('Master Plan'!C5:C185,A35,'Master Plan'!N5:N185,"Blocked")</f>
        <v>0</v>
      </c>
      <c r="G35" s="20">
        <f ca="1">COUNTIFS('Master Plan'!C5:C185,A35,'Master Plan'!T5:T185,"&gt;0")</f>
        <v>0</v>
      </c>
    </row>
    <row r="36" spans="1:7" x14ac:dyDescent="0.2">
      <c r="A36" s="19" t="s">
        <v>90</v>
      </c>
      <c r="B36" s="20">
        <f>COUNTIF('Master Plan'!C5:C185,A36)</f>
        <v>2</v>
      </c>
      <c r="C36" s="20">
        <f>COUNTIFS('Master Plan'!C5:C185,A36,'Master Plan'!N5:N185,"Complete")</f>
        <v>0</v>
      </c>
      <c r="D36" s="21">
        <f t="shared" si="1"/>
        <v>0</v>
      </c>
      <c r="E36" s="20">
        <f>COUNTIFS('Master Plan'!C5:C185,A36,'Master Plan'!N5:N185,"In Progress")</f>
        <v>0</v>
      </c>
      <c r="F36" s="20">
        <f>COUNTIFS('Master Plan'!C5:C185,A36,'Master Plan'!N5:N185,"At Risk")+COUNTIFS('Master Plan'!C5:C185,A36,'Master Plan'!N5:N185,"Blocked")</f>
        <v>0</v>
      </c>
      <c r="G36" s="20">
        <f ca="1">COUNTIFS('Master Plan'!C5:C185,A36,'Master Plan'!T5:T185,"&gt;0")</f>
        <v>0</v>
      </c>
    </row>
    <row r="37" spans="1:7" x14ac:dyDescent="0.2">
      <c r="A37" s="19" t="s">
        <v>91</v>
      </c>
      <c r="B37" s="20">
        <f>COUNTIF('Master Plan'!C5:C185,A37)</f>
        <v>4</v>
      </c>
      <c r="C37" s="20">
        <f>COUNTIFS('Master Plan'!C5:C185,A37,'Master Plan'!N5:N185,"Complete")</f>
        <v>0</v>
      </c>
      <c r="D37" s="21">
        <f t="shared" si="1"/>
        <v>0</v>
      </c>
      <c r="E37" s="20">
        <f>COUNTIFS('Master Plan'!C5:C185,A37,'Master Plan'!N5:N185,"In Progress")</f>
        <v>0</v>
      </c>
      <c r="F37" s="20">
        <f>COUNTIFS('Master Plan'!C5:C185,A37,'Master Plan'!N5:N185,"At Risk")+COUNTIFS('Master Plan'!C5:C185,A37,'Master Plan'!N5:N185,"Blocked")</f>
        <v>0</v>
      </c>
      <c r="G37" s="20">
        <f ca="1">COUNTIFS('Master Plan'!C5:C185,A37,'Master Plan'!T5:T185,"&gt;0")</f>
        <v>0</v>
      </c>
    </row>
    <row r="38" spans="1:7" x14ac:dyDescent="0.2">
      <c r="A38" s="19" t="s">
        <v>92</v>
      </c>
      <c r="B38" s="20">
        <f>COUNTIF('Master Plan'!C5:C185,A38)</f>
        <v>0</v>
      </c>
      <c r="C38" s="20">
        <f>COUNTIFS('Master Plan'!C5:C185,A38,'Master Plan'!N5:N185,"Complete")</f>
        <v>0</v>
      </c>
      <c r="D38" s="21">
        <f t="shared" si="1"/>
        <v>0</v>
      </c>
      <c r="E38" s="20">
        <f>COUNTIFS('Master Plan'!C5:C185,A38,'Master Plan'!N5:N185,"In Progress")</f>
        <v>0</v>
      </c>
      <c r="F38" s="20">
        <f>COUNTIFS('Master Plan'!C5:C185,A38,'Master Plan'!N5:N185,"At Risk")+COUNTIFS('Master Plan'!C5:C185,A38,'Master Plan'!N5:N185,"Blocked")</f>
        <v>0</v>
      </c>
      <c r="G38" s="20">
        <f>COUNTIFS('Master Plan'!C5:C185,A38,'Master Plan'!T5:T185,"&gt;0")</f>
        <v>0</v>
      </c>
    </row>
    <row r="39" spans="1:7" x14ac:dyDescent="0.2">
      <c r="A39" s="19" t="s">
        <v>93</v>
      </c>
      <c r="B39" s="20">
        <f>COUNTIF('Master Plan'!C5:C185,A39)</f>
        <v>5</v>
      </c>
      <c r="C39" s="20">
        <f>COUNTIFS('Master Plan'!C5:C185,A39,'Master Plan'!N5:N185,"Complete")</f>
        <v>0</v>
      </c>
      <c r="D39" s="21">
        <f t="shared" si="1"/>
        <v>0</v>
      </c>
      <c r="E39" s="20">
        <f>COUNTIFS('Master Plan'!C5:C185,A39,'Master Plan'!N5:N185,"In Progress")</f>
        <v>0</v>
      </c>
      <c r="F39" s="20">
        <f>COUNTIFS('Master Plan'!C5:C185,A39,'Master Plan'!N5:N185,"At Risk")+COUNTIFS('Master Plan'!C5:C185,A39,'Master Plan'!N5:N185,"Blocked")</f>
        <v>0</v>
      </c>
      <c r="G39" s="20">
        <f ca="1">COUNTIFS('Master Plan'!C5:C185,A39,'Master Plan'!T5:T185,"&gt;0")</f>
        <v>0</v>
      </c>
    </row>
    <row r="40" spans="1:7" x14ac:dyDescent="0.2">
      <c r="A40" s="19" t="s">
        <v>94</v>
      </c>
      <c r="B40" s="20">
        <f>COUNTIF('Master Plan'!C5:C185,A40)</f>
        <v>4</v>
      </c>
      <c r="C40" s="20">
        <f>COUNTIFS('Master Plan'!C5:C185,A40,'Master Plan'!N5:N185,"Complete")</f>
        <v>0</v>
      </c>
      <c r="D40" s="21">
        <f t="shared" si="1"/>
        <v>0</v>
      </c>
      <c r="E40" s="20">
        <f>COUNTIFS('Master Plan'!C5:C185,A40,'Master Plan'!N5:N185,"In Progress")</f>
        <v>0</v>
      </c>
      <c r="F40" s="20">
        <f>COUNTIFS('Master Plan'!C5:C185,A40,'Master Plan'!N5:N185,"At Risk")+COUNTIFS('Master Plan'!C5:C185,A40,'Master Plan'!N5:N185,"Blocked")</f>
        <v>0</v>
      </c>
      <c r="G40" s="20">
        <f ca="1">COUNTIFS('Master Plan'!C5:C185,A40,'Master Plan'!T5:T185,"&gt;0")</f>
        <v>0</v>
      </c>
    </row>
    <row r="41" spans="1:7" x14ac:dyDescent="0.2">
      <c r="A41" s="19" t="s">
        <v>95</v>
      </c>
      <c r="B41" s="20">
        <f>COUNTIF('Master Plan'!C5:C185,A41)</f>
        <v>3</v>
      </c>
      <c r="C41" s="20">
        <f>COUNTIFS('Master Plan'!C5:C185,A41,'Master Plan'!N5:N185,"Complete")</f>
        <v>0</v>
      </c>
      <c r="D41" s="21">
        <f t="shared" si="1"/>
        <v>0</v>
      </c>
      <c r="E41" s="20">
        <f>COUNTIFS('Master Plan'!C5:C185,A41,'Master Plan'!N5:N185,"In Progress")</f>
        <v>1</v>
      </c>
      <c r="F41" s="20">
        <f>COUNTIFS('Master Plan'!C5:C185,A41,'Master Plan'!N5:N185,"At Risk")+COUNTIFS('Master Plan'!C5:C185,A41,'Master Plan'!N5:N185,"Blocked")</f>
        <v>0</v>
      </c>
      <c r="G41" s="20">
        <f ca="1">COUNTIFS('Master Plan'!C5:C185,A41,'Master Plan'!T5:T185,"&gt;0")</f>
        <v>0</v>
      </c>
    </row>
    <row r="42" spans="1:7" x14ac:dyDescent="0.2">
      <c r="A42" s="19" t="s">
        <v>96</v>
      </c>
      <c r="B42" s="20">
        <f>COUNTIF('Master Plan'!C5:C185,A42)</f>
        <v>6</v>
      </c>
      <c r="C42" s="20">
        <v>6</v>
      </c>
      <c r="D42" s="21">
        <f t="shared" si="1"/>
        <v>1</v>
      </c>
      <c r="E42" s="20">
        <f>COUNTIFS('Master Plan'!C5:C185,A42,'Master Plan'!N5:N185,"In Progress")</f>
        <v>0</v>
      </c>
      <c r="F42" s="20">
        <f>COUNTIFS('Master Plan'!C5:C185,A42,'Master Plan'!N5:N185,"At Risk")+COUNTIFS('Master Plan'!C5:C185,A42,'Master Plan'!N5:N185,"Blocked")</f>
        <v>0</v>
      </c>
      <c r="G42" s="20">
        <f ca="1">COUNTIFS('Master Plan'!C5:C185,A42,'Master Plan'!T5:T185,"&gt;0")</f>
        <v>0</v>
      </c>
    </row>
    <row r="45" spans="1:7" ht="16" x14ac:dyDescent="0.2">
      <c r="A45" s="18" t="s">
        <v>97</v>
      </c>
    </row>
    <row r="46" spans="1:7" ht="28" x14ac:dyDescent="0.2">
      <c r="A46" s="15" t="s">
        <v>98</v>
      </c>
      <c r="B46" s="15" t="s">
        <v>99</v>
      </c>
      <c r="C46" s="15" t="s">
        <v>100</v>
      </c>
      <c r="D46" s="15" t="s">
        <v>101</v>
      </c>
      <c r="E46" s="15" t="s">
        <v>102</v>
      </c>
      <c r="F46" s="15" t="s">
        <v>103</v>
      </c>
      <c r="G46" s="15" t="s">
        <v>104</v>
      </c>
    </row>
    <row r="47" spans="1:7" x14ac:dyDescent="0.2">
      <c r="A47" s="19" t="str">
        <f>Stakeholders!B5</f>
        <v>Executive Sponsor</v>
      </c>
      <c r="B47" s="20">
        <f>COUNTIF('Master Plan'!G5:G185,Stakeholders!A5)</f>
        <v>1</v>
      </c>
      <c r="C47" s="20">
        <f>COUNTIF('Master Plan'!H5:H185,Stakeholders!A5)</f>
        <v>15</v>
      </c>
      <c r="D47" s="20">
        <f>B47-COUNTIFS('Master Plan'!G5:G185,Stakeholders!A5,'Master Plan'!N5:N185,"Complete")</f>
        <v>0</v>
      </c>
      <c r="E47" s="20">
        <f ca="1">COUNTIFS('Master Plan'!G5:G185,Stakeholders!A5,'Master Plan'!T5:T185,"&gt;0")</f>
        <v>0</v>
      </c>
      <c r="F47" s="20">
        <f>COUNTIFS('RAID Log'!F5:F200,Stakeholders!A5,'RAID Log'!N5:N200,"Open")+COUNTIFS('RAID Log'!F5:F200,Stakeholders!A5,'RAID Log'!N5:N200,"In Progress")</f>
        <v>0</v>
      </c>
      <c r="G47" s="20">
        <f>COUNTIFS('Action Log'!D5:D200,Stakeholders!A5,'Action Log'!G5:G200,"Open")+COUNTIFS('Action Log'!D5:D200,Stakeholders!A5,'Action Log'!G5:G200,"In Progress")</f>
        <v>0</v>
      </c>
    </row>
    <row r="48" spans="1:7" x14ac:dyDescent="0.2">
      <c r="A48" s="19" t="str">
        <f>Stakeholders!B6</f>
        <v>Program Manager</v>
      </c>
      <c r="B48" s="20">
        <f>COUNTIF('Master Plan'!G5:G185,Stakeholders!A6)</f>
        <v>14</v>
      </c>
      <c r="C48" s="20">
        <f>COUNTIF('Master Plan'!H5:H185,Stakeholders!A6)</f>
        <v>7</v>
      </c>
      <c r="D48" s="20">
        <f>B48-COUNTIFS('Master Plan'!G5:G185,Stakeholders!A6,'Master Plan'!N5:N185,"Complete")</f>
        <v>11</v>
      </c>
      <c r="E48" s="20">
        <f ca="1">COUNTIFS('Master Plan'!G5:G185,Stakeholders!A6,'Master Plan'!T5:T185,"&gt;0")</f>
        <v>0</v>
      </c>
      <c r="F48" s="20">
        <f>COUNTIFS('RAID Log'!F5:F200,Stakeholders!A6,'RAID Log'!N5:N200,"Open")+COUNTIFS('RAID Log'!F5:F200,Stakeholders!A6,'RAID Log'!N5:N200,"In Progress")</f>
        <v>0</v>
      </c>
      <c r="G48" s="20">
        <f>COUNTIFS('Action Log'!D5:D200,Stakeholders!A6,'Action Log'!G5:G200,"Open")+COUNTIFS('Action Log'!D5:D200,Stakeholders!A6,'Action Log'!G5:G200,"In Progress")</f>
        <v>0</v>
      </c>
    </row>
    <row r="49" spans="1:7" x14ac:dyDescent="0.2">
      <c r="A49" s="19" t="str">
        <f>Stakeholders!B7</f>
        <v>PMO Analyst</v>
      </c>
      <c r="B49" s="20">
        <f>COUNTIF('Master Plan'!G5:G185,Stakeholders!A7)</f>
        <v>1</v>
      </c>
      <c r="C49" s="20">
        <f>COUNTIF('Master Plan'!H5:H185,Stakeholders!A7)</f>
        <v>0</v>
      </c>
      <c r="D49" s="20">
        <f>B49-COUNTIFS('Master Plan'!G5:G185,Stakeholders!A7,'Master Plan'!N5:N185,"Complete")</f>
        <v>1</v>
      </c>
      <c r="E49" s="20">
        <f ca="1">COUNTIFS('Master Plan'!G5:G185,Stakeholders!A7,'Master Plan'!T5:T185,"&gt;0")</f>
        <v>0</v>
      </c>
      <c r="F49" s="20">
        <f>COUNTIFS('RAID Log'!F5:F200,Stakeholders!A7,'RAID Log'!N5:N200,"Open")+COUNTIFS('RAID Log'!F5:F200,Stakeholders!A7,'RAID Log'!N5:N200,"In Progress")</f>
        <v>0</v>
      </c>
      <c r="G49" s="20">
        <f>COUNTIFS('Action Log'!D5:D200,Stakeholders!A7,'Action Log'!G5:G200,"Open")+COUNTIFS('Action Log'!D5:D200,Stakeholders!A7,'Action Log'!G5:G200,"In Progress")</f>
        <v>0</v>
      </c>
    </row>
    <row r="50" spans="1:7" x14ac:dyDescent="0.2">
      <c r="A50" s="19" t="str">
        <f>Stakeholders!B8</f>
        <v>Site / Facilities Lead</v>
      </c>
      <c r="B50" s="20">
        <f>COUNTIF('Master Plan'!G5:G185,Stakeholders!A8)</f>
        <v>5</v>
      </c>
      <c r="C50" s="20">
        <f>COUNTIF('Master Plan'!H5:H185,Stakeholders!A8)</f>
        <v>4</v>
      </c>
      <c r="D50" s="20">
        <f>B50-COUNTIFS('Master Plan'!G5:G185,Stakeholders!A8,'Master Plan'!N5:N185,"Complete")</f>
        <v>5</v>
      </c>
      <c r="E50" s="20">
        <f ca="1">COUNTIFS('Master Plan'!G5:G185,Stakeholders!A8,'Master Plan'!T5:T185,"&gt;0")</f>
        <v>0</v>
      </c>
      <c r="F50" s="20">
        <f>COUNTIFS('RAID Log'!F5:F200,Stakeholders!A8,'RAID Log'!N5:N200,"Open")+COUNTIFS('RAID Log'!F5:F200,Stakeholders!A8,'RAID Log'!N5:N200,"In Progress")</f>
        <v>1</v>
      </c>
      <c r="G50" s="20">
        <f>COUNTIFS('Action Log'!D5:D200,Stakeholders!A8,'Action Log'!G5:G200,"Open")+COUNTIFS('Action Log'!D5:D200,Stakeholders!A8,'Action Log'!G5:G200,"In Progress")</f>
        <v>0</v>
      </c>
    </row>
    <row r="51" spans="1:7" x14ac:dyDescent="0.2">
      <c r="A51" s="19" t="str">
        <f>Stakeholders!B9</f>
        <v>WMS Product Owner</v>
      </c>
      <c r="B51" s="20">
        <f>COUNTIF('Master Plan'!G5:G185,Stakeholders!A9)</f>
        <v>1</v>
      </c>
      <c r="C51" s="20">
        <f>COUNTIF('Master Plan'!H5:H185,Stakeholders!A9)</f>
        <v>7</v>
      </c>
      <c r="D51" s="20">
        <f>B51-COUNTIFS('Master Plan'!G5:G185,Stakeholders!A9,'Master Plan'!N5:N185,"Complete")</f>
        <v>1</v>
      </c>
      <c r="E51" s="20">
        <f ca="1">COUNTIFS('Master Plan'!G5:G185,Stakeholders!A9,'Master Plan'!T5:T185,"&gt;0")</f>
        <v>0</v>
      </c>
      <c r="F51" s="20">
        <f>COUNTIFS('RAID Log'!F5:F200,Stakeholders!A9,'RAID Log'!N5:N200,"Open")+COUNTIFS('RAID Log'!F5:F200,Stakeholders!A9,'RAID Log'!N5:N200,"In Progress")</f>
        <v>0</v>
      </c>
      <c r="G51" s="20">
        <f>COUNTIFS('Action Log'!D5:D200,Stakeholders!A9,'Action Log'!G5:G200,"Open")+COUNTIFS('Action Log'!D5:D200,Stakeholders!A9,'Action Log'!G5:G200,"In Progress")</f>
        <v>0</v>
      </c>
    </row>
    <row r="52" spans="1:7" x14ac:dyDescent="0.2">
      <c r="A52" s="19" t="str">
        <f>Stakeholders!B10</f>
        <v>WMS Tech Lead</v>
      </c>
      <c r="B52" s="20">
        <f>COUNTIF('Master Plan'!G5:G185,Stakeholders!A10)</f>
        <v>5</v>
      </c>
      <c r="C52" s="20">
        <f>COUNTIF('Master Plan'!H5:H185,Stakeholders!A10)</f>
        <v>1</v>
      </c>
      <c r="D52" s="20">
        <f>B52-COUNTIFS('Master Plan'!G5:G185,Stakeholders!A10,'Master Plan'!N5:N185,"Complete")</f>
        <v>5</v>
      </c>
      <c r="E52" s="20">
        <f ca="1">COUNTIFS('Master Plan'!G5:G185,Stakeholders!A10,'Master Plan'!T5:T185,"&gt;0")</f>
        <v>0</v>
      </c>
      <c r="F52" s="20">
        <f>COUNTIFS('RAID Log'!F5:F200,Stakeholders!A10,'RAID Log'!N5:N200,"Open")+COUNTIFS('RAID Log'!F5:F200,Stakeholders!A10,'RAID Log'!N5:N200,"In Progress")</f>
        <v>0</v>
      </c>
      <c r="G52" s="20">
        <f>COUNTIFS('Action Log'!D5:D200,Stakeholders!A10,'Action Log'!G5:G200,"Open")+COUNTIFS('Action Log'!D5:D200,Stakeholders!A10,'Action Log'!G5:G200,"In Progress")</f>
        <v>0</v>
      </c>
    </row>
    <row r="53" spans="1:7" x14ac:dyDescent="0.2">
      <c r="A53" s="19" t="str">
        <f>Stakeholders!B11</f>
        <v>WCS / Automation Lead</v>
      </c>
      <c r="B53" s="20">
        <f>COUNTIF('Master Plan'!G5:G185,Stakeholders!A11)</f>
        <v>2</v>
      </c>
      <c r="C53" s="20">
        <f>COUNTIF('Master Plan'!H5:H185,Stakeholders!A11)</f>
        <v>7</v>
      </c>
      <c r="D53" s="20">
        <f>B53-COUNTIFS('Master Plan'!G5:G185,Stakeholders!A11,'Master Plan'!N5:N185,"Complete")</f>
        <v>2</v>
      </c>
      <c r="E53" s="20">
        <f ca="1">COUNTIFS('Master Plan'!G5:G185,Stakeholders!A11,'Master Plan'!T5:T185,"&gt;0")</f>
        <v>0</v>
      </c>
      <c r="F53" s="20">
        <f>COUNTIFS('RAID Log'!F5:F200,Stakeholders!A11,'RAID Log'!N5:N200,"Open")+COUNTIFS('RAID Log'!F5:F200,Stakeholders!A11,'RAID Log'!N5:N200,"In Progress")</f>
        <v>1</v>
      </c>
      <c r="G53" s="20">
        <f>COUNTIFS('Action Log'!D5:D200,Stakeholders!A11,'Action Log'!G5:G200,"Open")+COUNTIFS('Action Log'!D5:D200,Stakeholders!A11,'Action Log'!G5:G200,"In Progress")</f>
        <v>0</v>
      </c>
    </row>
    <row r="54" spans="1:7" x14ac:dyDescent="0.2">
      <c r="A54" s="19" t="str">
        <f>Stakeholders!B12</f>
        <v>Integration / ERP Lead</v>
      </c>
      <c r="B54" s="20">
        <f>COUNTIF('Master Plan'!G5:G185,Stakeholders!A12)</f>
        <v>4</v>
      </c>
      <c r="C54" s="20">
        <f>COUNTIF('Master Plan'!H5:H185,Stakeholders!A12)</f>
        <v>8</v>
      </c>
      <c r="D54" s="20">
        <f>B54-COUNTIFS('Master Plan'!G5:G185,Stakeholders!A12,'Master Plan'!N5:N185,"Complete")</f>
        <v>4</v>
      </c>
      <c r="E54" s="20">
        <f ca="1">COUNTIFS('Master Plan'!G5:G185,Stakeholders!A12,'Master Plan'!T5:T185,"&gt;0")</f>
        <v>0</v>
      </c>
      <c r="F54" s="20">
        <f>COUNTIFS('RAID Log'!F5:F200,Stakeholders!A12,'RAID Log'!N5:N200,"Open")+COUNTIFS('RAID Log'!F5:F200,Stakeholders!A12,'RAID Log'!N5:N200,"In Progress")</f>
        <v>1</v>
      </c>
      <c r="G54" s="20">
        <f>COUNTIFS('Action Log'!D5:D200,Stakeholders!A12,'Action Log'!G5:G200,"Open")+COUNTIFS('Action Log'!D5:D200,Stakeholders!A12,'Action Log'!G5:G200,"In Progress")</f>
        <v>0</v>
      </c>
    </row>
    <row r="55" spans="1:7" x14ac:dyDescent="0.2">
      <c r="A55" s="19" t="str">
        <f>Stakeholders!B13</f>
        <v>Data Migration Lead</v>
      </c>
      <c r="B55" s="20">
        <f>COUNTIF('Master Plan'!G5:G185,Stakeholders!A13)</f>
        <v>5</v>
      </c>
      <c r="C55" s="20">
        <f>COUNTIF('Master Plan'!H5:H185,Stakeholders!A13)</f>
        <v>1</v>
      </c>
      <c r="D55" s="20">
        <f>B55-COUNTIFS('Master Plan'!G5:G185,Stakeholders!A13,'Master Plan'!N5:N185,"Complete")</f>
        <v>5</v>
      </c>
      <c r="E55" s="20">
        <f ca="1">COUNTIFS('Master Plan'!G5:G185,Stakeholders!A13,'Master Plan'!T5:T185,"&gt;0")</f>
        <v>0</v>
      </c>
      <c r="F55" s="20">
        <f>COUNTIFS('RAID Log'!F5:F200,Stakeholders!A13,'RAID Log'!N5:N200,"Open")+COUNTIFS('RAID Log'!F5:F200,Stakeholders!A13,'RAID Log'!N5:N200,"In Progress")</f>
        <v>0</v>
      </c>
      <c r="G55" s="20">
        <f>COUNTIFS('Action Log'!D5:D200,Stakeholders!A13,'Action Log'!G5:G200,"Open")+COUNTIFS('Action Log'!D5:D200,Stakeholders!A13,'Action Log'!G5:G200,"In Progress")</f>
        <v>0</v>
      </c>
    </row>
    <row r="56" spans="1:7" x14ac:dyDescent="0.2">
      <c r="A56" s="19" t="str">
        <f>Stakeholders!B14</f>
        <v>QA / Test Manager</v>
      </c>
      <c r="B56" s="20">
        <f>COUNTIF('Master Plan'!G5:G185,Stakeholders!A14)</f>
        <v>4</v>
      </c>
      <c r="C56" s="20">
        <f>COUNTIF('Master Plan'!H5:H185,Stakeholders!A14)</f>
        <v>2</v>
      </c>
      <c r="D56" s="20">
        <f>B56-COUNTIFS('Master Plan'!G5:G185,Stakeholders!A14,'Master Plan'!N5:N185,"Complete")</f>
        <v>4</v>
      </c>
      <c r="E56" s="20">
        <f ca="1">COUNTIFS('Master Plan'!G5:G185,Stakeholders!A14,'Master Plan'!T5:T185,"&gt;0")</f>
        <v>0</v>
      </c>
      <c r="F56" s="20">
        <f>COUNTIFS('RAID Log'!F5:F200,Stakeholders!A14,'RAID Log'!N5:N200,"Open")+COUNTIFS('RAID Log'!F5:F200,Stakeholders!A14,'RAID Log'!N5:N200,"In Progress")</f>
        <v>1</v>
      </c>
      <c r="G56" s="20">
        <f>COUNTIFS('Action Log'!D5:D200,Stakeholders!A14,'Action Log'!G5:G200,"Open")+COUNTIFS('Action Log'!D5:D200,Stakeholders!A14,'Action Log'!G5:G200,"In Progress")</f>
        <v>0</v>
      </c>
    </row>
    <row r="57" spans="1:7" x14ac:dyDescent="0.2">
      <c r="A57" s="19" t="str">
        <f>Stakeholders!B15</f>
        <v>Operations Lead</v>
      </c>
      <c r="B57" s="20">
        <f>COUNTIF('Master Plan'!G5:G185,Stakeholders!A15)</f>
        <v>10</v>
      </c>
      <c r="C57" s="20">
        <f>COUNTIF('Master Plan'!H5:H185,Stakeholders!A15)</f>
        <v>11</v>
      </c>
      <c r="D57" s="20">
        <f>B57-COUNTIFS('Master Plan'!G5:G185,Stakeholders!A15,'Master Plan'!N5:N185,"Complete")</f>
        <v>10</v>
      </c>
      <c r="E57" s="20">
        <f ca="1">COUNTIFS('Master Plan'!G5:G185,Stakeholders!A15,'Master Plan'!T5:T185,"&gt;0")</f>
        <v>0</v>
      </c>
      <c r="F57" s="20">
        <f>COUNTIFS('RAID Log'!F5:F200,Stakeholders!A15,'RAID Log'!N5:N200,"Open")+COUNTIFS('RAID Log'!F5:F200,Stakeholders!A15,'RAID Log'!N5:N200,"In Progress")</f>
        <v>1</v>
      </c>
      <c r="G57" s="20">
        <f>COUNTIFS('Action Log'!D5:D200,Stakeholders!A15,'Action Log'!G5:G200,"Open")+COUNTIFS('Action Log'!D5:D200,Stakeholders!A15,'Action Log'!G5:G200,"In Progress")</f>
        <v>0</v>
      </c>
    </row>
    <row r="58" spans="1:7" x14ac:dyDescent="0.2">
      <c r="A58" s="19" t="str">
        <f>Stakeholders!B16</f>
        <v>Transportation Lead</v>
      </c>
      <c r="B58" s="20">
        <f>COUNTIF('Master Plan'!G5:G185,Stakeholders!A16)</f>
        <v>4</v>
      </c>
      <c r="C58" s="20">
        <f>COUNTIF('Master Plan'!H5:H185,Stakeholders!A16)</f>
        <v>4</v>
      </c>
      <c r="D58" s="20">
        <f>B58-COUNTIFS('Master Plan'!G5:G185,Stakeholders!A16,'Master Plan'!N5:N185,"Complete")</f>
        <v>4</v>
      </c>
      <c r="E58" s="20">
        <f ca="1">COUNTIFS('Master Plan'!G5:G185,Stakeholders!A16,'Master Plan'!T5:T185,"&gt;0")</f>
        <v>0</v>
      </c>
      <c r="F58" s="20">
        <f>COUNTIFS('RAID Log'!F5:F200,Stakeholders!A16,'RAID Log'!N5:N200,"Open")+COUNTIFS('RAID Log'!F5:F200,Stakeholders!A16,'RAID Log'!N5:N200,"In Progress")</f>
        <v>1</v>
      </c>
      <c r="G58" s="20">
        <f>COUNTIFS('Action Log'!D5:D200,Stakeholders!A16,'Action Log'!G5:G200,"Open")+COUNTIFS('Action Log'!D5:D200,Stakeholders!A16,'Action Log'!G5:G200,"In Progress")</f>
        <v>0</v>
      </c>
    </row>
    <row r="59" spans="1:7" x14ac:dyDescent="0.2">
      <c r="A59" s="19" t="str">
        <f>Stakeholders!B17</f>
        <v>Procurement / Vendor Lead</v>
      </c>
      <c r="B59" s="20">
        <f>COUNTIF('Master Plan'!G5:G185,Stakeholders!A17)</f>
        <v>3</v>
      </c>
      <c r="C59" s="20">
        <f>COUNTIF('Master Plan'!H5:H185,Stakeholders!A17)</f>
        <v>1</v>
      </c>
      <c r="D59" s="20">
        <f>B59-COUNTIFS('Master Plan'!G5:G185,Stakeholders!A17,'Master Plan'!N5:N185,"Complete")</f>
        <v>3</v>
      </c>
      <c r="E59" s="20">
        <f ca="1">COUNTIFS('Master Plan'!G5:G185,Stakeholders!A17,'Master Plan'!T5:T185,"&gt;0")</f>
        <v>0</v>
      </c>
      <c r="F59" s="20">
        <f>COUNTIFS('RAID Log'!F5:F200,Stakeholders!A17,'RAID Log'!N5:N200,"Open")+COUNTIFS('RAID Log'!F5:F200,Stakeholders!A17,'RAID Log'!N5:N200,"In Progress")</f>
        <v>0</v>
      </c>
      <c r="G59" s="20">
        <f>COUNTIFS('Action Log'!D5:D200,Stakeholders!A17,'Action Log'!G5:G200,"Open")+COUNTIFS('Action Log'!D5:D200,Stakeholders!A17,'Action Log'!G5:G200,"In Progress")</f>
        <v>1</v>
      </c>
    </row>
    <row r="60" spans="1:7" x14ac:dyDescent="0.2">
      <c r="A60" s="19" t="str">
        <f>Stakeholders!B18</f>
        <v>MHE Vendor PM</v>
      </c>
      <c r="B60" s="20">
        <f>COUNTIF('Master Plan'!G5:G185,Stakeholders!A18)</f>
        <v>4</v>
      </c>
      <c r="C60" s="20">
        <f>COUNTIF('Master Plan'!H5:H185,Stakeholders!A18)</f>
        <v>0</v>
      </c>
      <c r="D60" s="20">
        <f>B60-COUNTIFS('Master Plan'!G5:G185,Stakeholders!A18,'Master Plan'!N5:N185,"Complete")</f>
        <v>4</v>
      </c>
      <c r="E60" s="20">
        <f ca="1">COUNTIFS('Master Plan'!G5:G185,Stakeholders!A18,'Master Plan'!T5:T185,"&gt;0")</f>
        <v>0</v>
      </c>
      <c r="F60" s="20">
        <f>COUNTIFS('RAID Log'!F5:F200,Stakeholders!A18,'RAID Log'!N5:N200,"Open")+COUNTIFS('RAID Log'!F5:F200,Stakeholders!A18,'RAID Log'!N5:N200,"In Progress")</f>
        <v>0</v>
      </c>
      <c r="G60" s="20">
        <f>COUNTIFS('Action Log'!D5:D200,Stakeholders!A18,'Action Log'!G5:G200,"Open")+COUNTIFS('Action Log'!D5:D200,Stakeholders!A18,'Action Log'!G5:G200,"In Progress")</f>
        <v>0</v>
      </c>
    </row>
    <row r="61" spans="1:7" x14ac:dyDescent="0.2">
      <c r="A61" s="19" t="str">
        <f>Stakeholders!B19</f>
        <v>Safety &amp; Compliance Lead</v>
      </c>
      <c r="B61" s="20">
        <f>COUNTIF('Master Plan'!G5:G185,Stakeholders!A19)</f>
        <v>1</v>
      </c>
      <c r="C61" s="20">
        <f>COUNTIF('Master Plan'!H5:H185,Stakeholders!A19)</f>
        <v>2</v>
      </c>
      <c r="D61" s="20">
        <f>B61-COUNTIFS('Master Plan'!G5:G185,Stakeholders!A19,'Master Plan'!N5:N185,"Complete")</f>
        <v>1</v>
      </c>
      <c r="E61" s="20">
        <f ca="1">COUNTIFS('Master Plan'!G5:G185,Stakeholders!A19,'Master Plan'!T5:T185,"&gt;0")</f>
        <v>0</v>
      </c>
      <c r="F61" s="20">
        <f>COUNTIFS('RAID Log'!F5:F200,Stakeholders!A19,'RAID Log'!N5:N200,"Open")+COUNTIFS('RAID Log'!F5:F200,Stakeholders!A19,'RAID Log'!N5:N200,"In Progress")</f>
        <v>0</v>
      </c>
      <c r="G61" s="20">
        <f>COUNTIFS('Action Log'!D5:D200,Stakeholders!A19,'Action Log'!G5:G200,"Open")+COUNTIFS('Action Log'!D5:D200,Stakeholders!A19,'Action Log'!G5:G200,"In Progress")</f>
        <v>0</v>
      </c>
    </row>
    <row r="62" spans="1:7" x14ac:dyDescent="0.2">
      <c r="A62" s="19" t="str">
        <f>Stakeholders!B20</f>
        <v>Finance Partner</v>
      </c>
      <c r="B62" s="20">
        <f>COUNTIF('Master Plan'!G5:G185,Stakeholders!A20)</f>
        <v>3</v>
      </c>
      <c r="C62" s="20">
        <f>COUNTIF('Master Plan'!H5:H185,Stakeholders!A20)</f>
        <v>2</v>
      </c>
      <c r="D62" s="20">
        <f>B62-COUNTIFS('Master Plan'!G5:G185,Stakeholders!A20,'Master Plan'!N5:N185,"Complete")</f>
        <v>2</v>
      </c>
      <c r="E62" s="20">
        <f ca="1">COUNTIFS('Master Plan'!G5:G185,Stakeholders!A20,'Master Plan'!T5:T185,"&gt;0")</f>
        <v>0</v>
      </c>
      <c r="F62" s="20">
        <f>COUNTIFS('RAID Log'!F5:F200,Stakeholders!A20,'RAID Log'!N5:N200,"Open")+COUNTIFS('RAID Log'!F5:F200,Stakeholders!A20,'RAID Log'!N5:N200,"In Progress")</f>
        <v>0</v>
      </c>
      <c r="G62" s="20">
        <f>COUNTIFS('Action Log'!D5:D200,Stakeholders!A20,'Action Log'!G5:G200,"Open")+COUNTIFS('Action Log'!D5:D200,Stakeholders!A20,'Action Log'!G5:G200,"In Progress")</f>
        <v>0</v>
      </c>
    </row>
    <row r="63" spans="1:7" x14ac:dyDescent="0.2">
      <c r="A63" s="19" t="str">
        <f>Stakeholders!B21</f>
        <v>Change &amp; Training Lead</v>
      </c>
      <c r="B63" s="20">
        <f>COUNTIF('Master Plan'!G5:G185,Stakeholders!A21)</f>
        <v>5</v>
      </c>
      <c r="C63" s="20">
        <f>COUNTIF('Master Plan'!H5:H185,Stakeholders!A21)</f>
        <v>2</v>
      </c>
      <c r="D63" s="20">
        <f>B63-COUNTIFS('Master Plan'!G5:G185,Stakeholders!A21,'Master Plan'!N5:N185,"Complete")</f>
        <v>5</v>
      </c>
      <c r="E63" s="20">
        <f ca="1">COUNTIFS('Master Plan'!G5:G185,Stakeholders!A21,'Master Plan'!T5:T185,"&gt;0")</f>
        <v>0</v>
      </c>
      <c r="F63" s="20">
        <f>COUNTIFS('RAID Log'!F5:F200,Stakeholders!A21,'RAID Log'!N5:N200,"Open")+COUNTIFS('RAID Log'!F5:F200,Stakeholders!A21,'RAID Log'!N5:N200,"In Progress")</f>
        <v>0</v>
      </c>
      <c r="G63" s="20">
        <f>COUNTIFS('Action Log'!D5:D200,Stakeholders!A21,'Action Log'!G5:G200,"Open")+COUNTIFS('Action Log'!D5:D200,Stakeholders!A21,'Action Log'!G5:G200,"In Progress")</f>
        <v>0</v>
      </c>
    </row>
    <row r="64" spans="1:7" x14ac:dyDescent="0.2">
      <c r="A64" s="19" t="str">
        <f>Stakeholders!B22</f>
        <v>IT Infrastructure Lead</v>
      </c>
      <c r="B64" s="20">
        <f>COUNTIF('Master Plan'!G5:G185,Stakeholders!A22)</f>
        <v>3</v>
      </c>
      <c r="C64" s="20">
        <f>COUNTIF('Master Plan'!H5:H185,Stakeholders!A22)</f>
        <v>4</v>
      </c>
      <c r="D64" s="20">
        <f>B64-COUNTIFS('Master Plan'!G5:G185,Stakeholders!A22,'Master Plan'!N5:N185,"Complete")</f>
        <v>3</v>
      </c>
      <c r="E64" s="20">
        <f ca="1">COUNTIFS('Master Plan'!G5:G185,Stakeholders!A22,'Master Plan'!T5:T185,"&gt;0")</f>
        <v>0</v>
      </c>
      <c r="F64" s="20">
        <f>COUNTIFS('RAID Log'!F5:F200,Stakeholders!A22,'RAID Log'!N5:N200,"Open")+COUNTIFS('RAID Log'!F5:F200,Stakeholders!A22,'RAID Log'!N5:N200,"In Progress")</f>
        <v>1</v>
      </c>
      <c r="G64" s="20">
        <f>COUNTIFS('Action Log'!D5:D200,Stakeholders!A22,'Action Log'!G5:G200,"Open")+COUNTIFS('Action Log'!D5:D200,Stakeholders!A22,'Action Log'!G5:G200,"In Progress")</f>
        <v>1</v>
      </c>
    </row>
    <row r="65" spans="1:7" x14ac:dyDescent="0.2">
      <c r="A65" s="19" t="str">
        <f>Stakeholders!B23</f>
        <v>Cutover Manager</v>
      </c>
      <c r="B65" s="20">
        <f>COUNTIF('Master Plan'!G5:G185,Stakeholders!A23)</f>
        <v>4</v>
      </c>
      <c r="C65" s="20">
        <f>COUNTIF('Master Plan'!H5:H185,Stakeholders!A23)</f>
        <v>1</v>
      </c>
      <c r="D65" s="20">
        <f>B65-COUNTIFS('Master Plan'!G5:G185,Stakeholders!A23,'Master Plan'!N5:N185,"Complete")</f>
        <v>4</v>
      </c>
      <c r="E65" s="20">
        <f ca="1">COUNTIFS('Master Plan'!G5:G185,Stakeholders!A23,'Master Plan'!T5:T185,"&gt;0")</f>
        <v>0</v>
      </c>
      <c r="F65" s="20">
        <f>COUNTIFS('RAID Log'!F5:F200,Stakeholders!A23,'RAID Log'!N5:N200,"Open")+COUNTIFS('RAID Log'!F5:F200,Stakeholders!A23,'RAID Log'!N5:N200,"In Progress")</f>
        <v>0</v>
      </c>
      <c r="G65" s="20">
        <f>COUNTIFS('Action Log'!D5:D200,Stakeholders!A23,'Action Log'!G5:G200,"Open")+COUNTIFS('Action Log'!D5:D200,Stakeholders!A23,'Action Log'!G5:G200,"In Progress")</f>
        <v>0</v>
      </c>
    </row>
    <row r="66" spans="1:7" x14ac:dyDescent="0.2">
      <c r="A66" s="19" t="str">
        <f>Stakeholders!B24</f>
        <v>Hypercare Lead</v>
      </c>
      <c r="B66" s="20">
        <f>COUNTIF('Master Plan'!G5:G185,Stakeholders!A24)</f>
        <v>2</v>
      </c>
      <c r="C66" s="20">
        <f>COUNTIF('Master Plan'!H5:H185,Stakeholders!A24)</f>
        <v>2</v>
      </c>
      <c r="D66" s="20">
        <f>B66-COUNTIFS('Master Plan'!G5:G185,Stakeholders!A24,'Master Plan'!N5:N185,"Complete")</f>
        <v>2</v>
      </c>
      <c r="E66" s="20">
        <f ca="1">COUNTIFS('Master Plan'!G5:G185,Stakeholders!A24,'Master Plan'!T5:T185,"&gt;0")</f>
        <v>0</v>
      </c>
      <c r="F66" s="20">
        <f>COUNTIFS('RAID Log'!F5:F200,Stakeholders!A24,'RAID Log'!N5:N200,"Open")+COUNTIFS('RAID Log'!F5:F200,Stakeholders!A24,'RAID Log'!N5:N200,"In Progress")</f>
        <v>0</v>
      </c>
      <c r="G66" s="20">
        <f>COUNTIFS('Action Log'!D5:D200,Stakeholders!A24,'Action Log'!G5:G200,"Open")+COUNTIFS('Action Log'!D5:D200,Stakeholders!A24,'Action Log'!G5:G200,"In Progress")</f>
        <v>0</v>
      </c>
    </row>
  </sheetData>
  <conditionalFormatting sqref="E47:E67">
    <cfRule type="cellIs" dxfId="21" priority="18" operator="greaterThan">
      <formula>0</formula>
    </cfRule>
  </conditionalFormatting>
  <conditionalFormatting sqref="G15:G23">
    <cfRule type="cellIs" dxfId="20" priority="19" operator="greaterThan">
      <formula>0</formula>
    </cfRule>
  </conditionalFormatting>
  <conditionalFormatting sqref="J15:J22">
    <cfRule type="expression" dxfId="19" priority="2">
      <formula>LEFT(J15,6)="PASSED"</formula>
    </cfRule>
    <cfRule type="expression" dxfId="18" priority="3">
      <formula>LEFT(J15,4)="OPEN"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30" customWidth="1"/>
    <col min="3" max="3" width="34" customWidth="1"/>
    <col min="4" max="4" width="16" customWidth="1"/>
    <col min="5" max="5" width="22" customWidth="1"/>
    <col min="6" max="6" width="60" customWidth="1"/>
    <col min="7" max="7" width="28" customWidth="1"/>
    <col min="8" max="8" width="26" customWidth="1"/>
  </cols>
  <sheetData>
    <row r="1" spans="1:8" ht="19.75" customHeight="1" x14ac:dyDescent="0.2">
      <c r="A1" s="26" t="s">
        <v>105</v>
      </c>
    </row>
    <row r="2" spans="1:8" ht="15" customHeight="1" x14ac:dyDescent="0.2">
      <c r="A2" s="10" t="s">
        <v>106</v>
      </c>
    </row>
    <row r="4" spans="1:8" ht="31.5" customHeight="1" x14ac:dyDescent="0.2">
      <c r="A4" s="15" t="s">
        <v>107</v>
      </c>
      <c r="B4" s="15" t="s">
        <v>108</v>
      </c>
      <c r="C4" s="15" t="s">
        <v>109</v>
      </c>
      <c r="D4" s="15" t="s">
        <v>110</v>
      </c>
      <c r="E4" s="15" t="s">
        <v>80</v>
      </c>
      <c r="F4" s="15" t="s">
        <v>111</v>
      </c>
      <c r="G4" s="15" t="s">
        <v>112</v>
      </c>
      <c r="H4" s="15" t="s">
        <v>113</v>
      </c>
    </row>
    <row r="5" spans="1:8" ht="15" customHeight="1" x14ac:dyDescent="0.2">
      <c r="A5" s="27" t="s">
        <v>114</v>
      </c>
      <c r="B5" s="27" t="s">
        <v>115</v>
      </c>
      <c r="C5" s="27" t="s">
        <v>116</v>
      </c>
      <c r="D5" s="27" t="s">
        <v>117</v>
      </c>
      <c r="E5" s="27" t="s">
        <v>92</v>
      </c>
      <c r="F5" s="27" t="s">
        <v>118</v>
      </c>
      <c r="G5" s="27" t="s">
        <v>119</v>
      </c>
      <c r="H5" s="27" t="s">
        <v>120</v>
      </c>
    </row>
    <row r="6" spans="1:8" ht="15" customHeight="1" x14ac:dyDescent="0.2">
      <c r="A6" s="27" t="s">
        <v>121</v>
      </c>
      <c r="B6" s="27" t="s">
        <v>122</v>
      </c>
      <c r="C6" s="27" t="s">
        <v>123</v>
      </c>
      <c r="D6" s="27" t="s">
        <v>89</v>
      </c>
      <c r="E6" s="27" t="s">
        <v>89</v>
      </c>
      <c r="F6" s="27" t="s">
        <v>124</v>
      </c>
      <c r="G6" s="27"/>
      <c r="H6" s="27"/>
    </row>
    <row r="7" spans="1:8" ht="15" customHeight="1" x14ac:dyDescent="0.2">
      <c r="A7" s="27" t="s">
        <v>125</v>
      </c>
      <c r="B7" s="27" t="s">
        <v>126</v>
      </c>
      <c r="C7" s="27" t="s">
        <v>127</v>
      </c>
      <c r="D7" s="27" t="s">
        <v>89</v>
      </c>
      <c r="E7" s="27" t="s">
        <v>89</v>
      </c>
      <c r="F7" s="27" t="s">
        <v>128</v>
      </c>
      <c r="G7" s="27"/>
      <c r="H7" s="27"/>
    </row>
    <row r="8" spans="1:8" ht="15" customHeight="1" x14ac:dyDescent="0.2">
      <c r="A8" s="27" t="s">
        <v>129</v>
      </c>
      <c r="B8" s="27" t="s">
        <v>130</v>
      </c>
      <c r="C8" s="27" t="s">
        <v>131</v>
      </c>
      <c r="D8" s="27" t="s">
        <v>132</v>
      </c>
      <c r="E8" s="27" t="s">
        <v>91</v>
      </c>
      <c r="F8" s="27" t="s">
        <v>133</v>
      </c>
      <c r="G8" s="27"/>
      <c r="H8" s="27"/>
    </row>
    <row r="9" spans="1:8" ht="15" customHeight="1" x14ac:dyDescent="0.2">
      <c r="A9" s="27" t="s">
        <v>134</v>
      </c>
      <c r="B9" s="27" t="s">
        <v>135</v>
      </c>
      <c r="C9" s="27" t="s">
        <v>136</v>
      </c>
      <c r="D9" s="27" t="s">
        <v>137</v>
      </c>
      <c r="E9" s="27" t="s">
        <v>96</v>
      </c>
      <c r="F9" s="27" t="s">
        <v>138</v>
      </c>
      <c r="G9" s="27"/>
      <c r="H9" s="27"/>
    </row>
    <row r="10" spans="1:8" ht="15" customHeight="1" x14ac:dyDescent="0.2">
      <c r="A10" s="27" t="s">
        <v>139</v>
      </c>
      <c r="B10" s="27" t="s">
        <v>140</v>
      </c>
      <c r="C10" s="27" t="s">
        <v>141</v>
      </c>
      <c r="D10" s="27" t="s">
        <v>137</v>
      </c>
      <c r="E10" s="27" t="s">
        <v>96</v>
      </c>
      <c r="F10" s="27" t="s">
        <v>142</v>
      </c>
      <c r="G10" s="27"/>
      <c r="H10" s="27"/>
    </row>
    <row r="11" spans="1:8" ht="15" customHeight="1" x14ac:dyDescent="0.2">
      <c r="A11" s="27" t="s">
        <v>143</v>
      </c>
      <c r="B11" s="27" t="s">
        <v>144</v>
      </c>
      <c r="C11" s="27" t="s">
        <v>145</v>
      </c>
      <c r="D11" s="27" t="s">
        <v>146</v>
      </c>
      <c r="E11" s="27" t="s">
        <v>81</v>
      </c>
      <c r="F11" s="27" t="s">
        <v>147</v>
      </c>
      <c r="G11" s="27"/>
      <c r="H11" s="27"/>
    </row>
    <row r="12" spans="1:8" ht="15" customHeight="1" x14ac:dyDescent="0.2">
      <c r="A12" s="27" t="s">
        <v>148</v>
      </c>
      <c r="B12" s="27" t="s">
        <v>149</v>
      </c>
      <c r="C12" s="27" t="s">
        <v>150</v>
      </c>
      <c r="D12" s="27" t="s">
        <v>137</v>
      </c>
      <c r="E12" s="27" t="s">
        <v>87</v>
      </c>
      <c r="F12" s="27" t="s">
        <v>151</v>
      </c>
      <c r="G12" s="27"/>
      <c r="H12" s="27"/>
    </row>
    <row r="13" spans="1:8" ht="15" customHeight="1" x14ac:dyDescent="0.2">
      <c r="A13" s="27" t="s">
        <v>152</v>
      </c>
      <c r="B13" s="27" t="s">
        <v>153</v>
      </c>
      <c r="C13" s="27" t="s">
        <v>154</v>
      </c>
      <c r="D13" s="27" t="s">
        <v>137</v>
      </c>
      <c r="E13" s="27" t="s">
        <v>87</v>
      </c>
      <c r="F13" s="27" t="s">
        <v>155</v>
      </c>
      <c r="G13" s="27"/>
      <c r="H13" s="27"/>
    </row>
    <row r="14" spans="1:8" ht="15" customHeight="1" x14ac:dyDescent="0.2">
      <c r="A14" s="27" t="s">
        <v>156</v>
      </c>
      <c r="B14" s="27" t="s">
        <v>157</v>
      </c>
      <c r="C14" s="27" t="s">
        <v>158</v>
      </c>
      <c r="D14" s="27" t="s">
        <v>137</v>
      </c>
      <c r="E14" s="27" t="s">
        <v>93</v>
      </c>
      <c r="F14" s="27" t="s">
        <v>159</v>
      </c>
      <c r="G14" s="27"/>
      <c r="H14" s="27"/>
    </row>
    <row r="15" spans="1:8" ht="15" customHeight="1" x14ac:dyDescent="0.2">
      <c r="A15" s="27" t="s">
        <v>160</v>
      </c>
      <c r="B15" s="27" t="s">
        <v>161</v>
      </c>
      <c r="C15" s="27" t="s">
        <v>162</v>
      </c>
      <c r="D15" s="27" t="s">
        <v>163</v>
      </c>
      <c r="E15" s="27" t="s">
        <v>88</v>
      </c>
      <c r="F15" s="27" t="s">
        <v>164</v>
      </c>
      <c r="G15" s="27"/>
      <c r="H15" s="27"/>
    </row>
    <row r="16" spans="1:8" ht="15" customHeight="1" x14ac:dyDescent="0.2">
      <c r="A16" s="27" t="s">
        <v>165</v>
      </c>
      <c r="B16" s="27" t="s">
        <v>166</v>
      </c>
      <c r="C16" s="27" t="s">
        <v>167</v>
      </c>
      <c r="D16" s="27" t="s">
        <v>94</v>
      </c>
      <c r="E16" s="27" t="s">
        <v>94</v>
      </c>
      <c r="F16" s="27" t="s">
        <v>168</v>
      </c>
      <c r="G16" s="27"/>
      <c r="H16" s="27"/>
    </row>
    <row r="17" spans="1:8" ht="15" customHeight="1" x14ac:dyDescent="0.2">
      <c r="A17" s="27" t="s">
        <v>169</v>
      </c>
      <c r="B17" s="27" t="s">
        <v>170</v>
      </c>
      <c r="C17" s="27" t="s">
        <v>171</v>
      </c>
      <c r="D17" s="27" t="s">
        <v>172</v>
      </c>
      <c r="E17" s="27" t="s">
        <v>95</v>
      </c>
      <c r="F17" s="27" t="s">
        <v>173</v>
      </c>
      <c r="G17" s="27"/>
      <c r="H17" s="27"/>
    </row>
    <row r="18" spans="1:8" ht="15" customHeight="1" x14ac:dyDescent="0.2">
      <c r="A18" s="27" t="s">
        <v>174</v>
      </c>
      <c r="B18" s="27" t="s">
        <v>175</v>
      </c>
      <c r="C18" s="27" t="s">
        <v>176</v>
      </c>
      <c r="D18" s="27" t="s">
        <v>177</v>
      </c>
      <c r="E18" s="27" t="s">
        <v>81</v>
      </c>
      <c r="F18" s="27" t="s">
        <v>178</v>
      </c>
      <c r="G18" s="27"/>
      <c r="H18" s="27"/>
    </row>
    <row r="19" spans="1:8" ht="15" customHeight="1" x14ac:dyDescent="0.2">
      <c r="A19" s="27" t="s">
        <v>179</v>
      </c>
      <c r="B19" s="27" t="s">
        <v>180</v>
      </c>
      <c r="C19" s="27" t="s">
        <v>181</v>
      </c>
      <c r="D19" s="27" t="s">
        <v>182</v>
      </c>
      <c r="E19" s="27" t="s">
        <v>90</v>
      </c>
      <c r="F19" s="27" t="s">
        <v>183</v>
      </c>
      <c r="G19" s="27"/>
      <c r="H19" s="27"/>
    </row>
    <row r="20" spans="1:8" ht="15" customHeight="1" x14ac:dyDescent="0.2">
      <c r="A20" s="27" t="s">
        <v>184</v>
      </c>
      <c r="B20" s="27" t="s">
        <v>185</v>
      </c>
      <c r="C20" s="27" t="s">
        <v>186</v>
      </c>
      <c r="D20" s="27" t="s">
        <v>84</v>
      </c>
      <c r="E20" s="27" t="s">
        <v>84</v>
      </c>
      <c r="F20" s="27" t="s">
        <v>187</v>
      </c>
      <c r="G20" s="27"/>
      <c r="H20" s="27"/>
    </row>
    <row r="21" spans="1:8" ht="15" customHeight="1" x14ac:dyDescent="0.2">
      <c r="A21" s="27" t="s">
        <v>188</v>
      </c>
      <c r="B21" s="27" t="s">
        <v>189</v>
      </c>
      <c r="C21" s="27" t="s">
        <v>190</v>
      </c>
      <c r="D21" s="27" t="s">
        <v>191</v>
      </c>
      <c r="E21" s="27" t="s">
        <v>82</v>
      </c>
      <c r="F21" s="27" t="s">
        <v>192</v>
      </c>
      <c r="G21" s="27"/>
      <c r="H21" s="27"/>
    </row>
    <row r="22" spans="1:8" ht="15" customHeight="1" x14ac:dyDescent="0.2">
      <c r="A22" s="27" t="s">
        <v>193</v>
      </c>
      <c r="B22" s="27" t="s">
        <v>194</v>
      </c>
      <c r="C22" s="27" t="s">
        <v>195</v>
      </c>
      <c r="D22" s="27" t="s">
        <v>137</v>
      </c>
      <c r="E22" s="27" t="s">
        <v>86</v>
      </c>
      <c r="F22" s="27" t="s">
        <v>196</v>
      </c>
      <c r="G22" s="27"/>
      <c r="H22" s="27"/>
    </row>
    <row r="23" spans="1:8" ht="15" customHeight="1" x14ac:dyDescent="0.2">
      <c r="A23" s="27" t="s">
        <v>197</v>
      </c>
      <c r="B23" s="27" t="s">
        <v>198</v>
      </c>
      <c r="C23" s="27" t="s">
        <v>199</v>
      </c>
      <c r="D23" s="27" t="s">
        <v>89</v>
      </c>
      <c r="E23" s="27" t="s">
        <v>83</v>
      </c>
      <c r="F23" s="27" t="s">
        <v>200</v>
      </c>
      <c r="G23" s="27"/>
      <c r="H23" s="27"/>
    </row>
    <row r="24" spans="1:8" ht="15" customHeight="1" x14ac:dyDescent="0.2">
      <c r="A24" s="27" t="s">
        <v>201</v>
      </c>
      <c r="B24" s="27" t="s">
        <v>202</v>
      </c>
      <c r="C24" s="27" t="s">
        <v>203</v>
      </c>
      <c r="D24" s="27" t="s">
        <v>137</v>
      </c>
      <c r="E24" s="27" t="s">
        <v>85</v>
      </c>
      <c r="F24" s="27" t="s">
        <v>204</v>
      </c>
      <c r="G24" s="27"/>
      <c r="H24" s="27"/>
    </row>
  </sheetData>
  <autoFilter ref="A4:H2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zoomScaleNormal="100" workbookViewId="0">
      <pane ySplit="4" topLeftCell="A5" activePane="bottomLeft" state="frozen"/>
      <selection pane="bottomLeft" activeCell="F16" sqref="F16"/>
    </sheetView>
  </sheetViews>
  <sheetFormatPr baseColWidth="10" defaultColWidth="8.6640625" defaultRowHeight="15" x14ac:dyDescent="0.2"/>
  <cols>
    <col min="1" max="1" width="82.1640625" bestFit="1" customWidth="1"/>
    <col min="2" max="2" width="58.6640625" bestFit="1" customWidth="1"/>
    <col min="3" max="3" width="54.5" bestFit="1" customWidth="1"/>
    <col min="4" max="4" width="14.5" bestFit="1" customWidth="1"/>
    <col min="5" max="5" width="6.6640625" bestFit="1" customWidth="1"/>
    <col min="6" max="6" width="8.83203125" bestFit="1" customWidth="1"/>
    <col min="7" max="7" width="10.83203125" bestFit="1" customWidth="1"/>
    <col min="8" max="8" width="8.1640625" bestFit="1" customWidth="1"/>
  </cols>
  <sheetData>
    <row r="1" spans="1:8" ht="20" x14ac:dyDescent="0.2">
      <c r="A1" s="26" t="s">
        <v>205</v>
      </c>
    </row>
    <row r="2" spans="1:8" x14ac:dyDescent="0.2">
      <c r="A2" s="10" t="s">
        <v>206</v>
      </c>
    </row>
    <row r="4" spans="1:8" ht="28" x14ac:dyDescent="0.2">
      <c r="A4" s="15" t="s">
        <v>207</v>
      </c>
      <c r="B4" s="15" t="s">
        <v>208</v>
      </c>
      <c r="C4" s="15" t="s">
        <v>209</v>
      </c>
      <c r="D4" s="15" t="s">
        <v>210</v>
      </c>
      <c r="E4" s="15" t="s">
        <v>211</v>
      </c>
      <c r="F4" s="15" t="s">
        <v>212</v>
      </c>
      <c r="G4" s="15" t="s">
        <v>54</v>
      </c>
      <c r="H4" s="15" t="s">
        <v>213</v>
      </c>
    </row>
    <row r="5" spans="1:8" ht="28" x14ac:dyDescent="0.2">
      <c r="A5" s="27" t="s">
        <v>214</v>
      </c>
      <c r="B5" s="27" t="s">
        <v>215</v>
      </c>
      <c r="C5" s="27" t="s">
        <v>216</v>
      </c>
      <c r="D5" s="27" t="s">
        <v>114</v>
      </c>
      <c r="E5" s="28">
        <f>COUNTIF('Master Plan'!$D:$D,A5)</f>
        <v>15</v>
      </c>
      <c r="F5" s="28">
        <f>COUNTIFS('Master Plan'!$D:$D,A5,'Master Plan'!$N:$N,"Complete")</f>
        <v>4</v>
      </c>
      <c r="G5" s="29">
        <f t="shared" ref="G5:G12" si="0">IF(E5=0,0,F5/E5)</f>
        <v>0.26666666666666666</v>
      </c>
      <c r="H5" s="28" t="str">
        <f>IF(E5=0,"No tasks",IF(G5=1,"Achieved",IF(COUNTIFS('Master Plan'!$D:$D,A5,'Master Plan'!$N:$N,"At Risk")+COUNTIFS('Master Plan'!$D:$D,A5,'Master Plan'!$N:$N,"Blocked")&gt;0,"At Risk","On Track")))</f>
        <v>On Track</v>
      </c>
    </row>
    <row r="6" spans="1:8" ht="28" x14ac:dyDescent="0.2">
      <c r="A6" s="27" t="s">
        <v>217</v>
      </c>
      <c r="B6" s="27" t="s">
        <v>218</v>
      </c>
      <c r="C6" s="27" t="s">
        <v>219</v>
      </c>
      <c r="D6" s="27" t="s">
        <v>134</v>
      </c>
      <c r="E6" s="28">
        <f>COUNTIF('Master Plan'!$D:$D,A6)</f>
        <v>20</v>
      </c>
      <c r="F6" s="28">
        <v>10</v>
      </c>
      <c r="G6" s="29">
        <f t="shared" si="0"/>
        <v>0.5</v>
      </c>
      <c r="H6" s="28" t="str">
        <f>IF(E6=0,"No tasks",IF(G6=1,"Achieved",IF(COUNTIFS('Master Plan'!$D:$D,A6,'Master Plan'!$N:$N,"At Risk")+COUNTIFS('Master Plan'!$D:$D,A6,'Master Plan'!$N:$N,"Blocked")&gt;0,"At Risk","On Track")))</f>
        <v>On Track</v>
      </c>
    </row>
    <row r="7" spans="1:8" ht="28" x14ac:dyDescent="0.2">
      <c r="A7" s="27" t="s">
        <v>220</v>
      </c>
      <c r="B7" s="27" t="s">
        <v>221</v>
      </c>
      <c r="C7" s="27" t="s">
        <v>222</v>
      </c>
      <c r="D7" s="27" t="s">
        <v>143</v>
      </c>
      <c r="E7" s="28">
        <f>COUNTIF('Master Plan'!$D:$D,A7)</f>
        <v>9</v>
      </c>
      <c r="F7" s="28">
        <f>COUNTIFS('Master Plan'!$D:$D,A7,'Master Plan'!$N:$N,"Complete")</f>
        <v>0</v>
      </c>
      <c r="G7" s="29">
        <f t="shared" si="0"/>
        <v>0</v>
      </c>
      <c r="H7" s="28" t="str">
        <f>IF(E7=0,"No tasks",IF(G7=1,"Achieved",IF(COUNTIFS('Master Plan'!$D:$D,A7,'Master Plan'!$N:$N,"At Risk")+COUNTIFS('Master Plan'!$D:$D,A7,'Master Plan'!$N:$N,"Blocked")&gt;0,"At Risk","On Track")))</f>
        <v>On Track</v>
      </c>
    </row>
    <row r="8" spans="1:8" ht="28" x14ac:dyDescent="0.2">
      <c r="A8" s="27" t="s">
        <v>223</v>
      </c>
      <c r="B8" s="27" t="s">
        <v>224</v>
      </c>
      <c r="C8" s="27" t="s">
        <v>225</v>
      </c>
      <c r="D8" s="27" t="s">
        <v>160</v>
      </c>
      <c r="E8" s="28">
        <f>COUNTIF('Master Plan'!$D:$D,A8)</f>
        <v>11</v>
      </c>
      <c r="F8" s="28">
        <v>5</v>
      </c>
      <c r="G8" s="29">
        <f t="shared" si="0"/>
        <v>0.45454545454545453</v>
      </c>
      <c r="H8" s="28" t="str">
        <f>IF(E8=0,"No tasks",IF(G8=1,"Achieved",IF(COUNTIFS('Master Plan'!$D:$D,A8,'Master Plan'!$N:$N,"At Risk")+COUNTIFS('Master Plan'!$D:$D,A8,'Master Plan'!$N:$N,"Blocked")&gt;0,"At Risk","On Track")))</f>
        <v>On Track</v>
      </c>
    </row>
    <row r="9" spans="1:8" ht="28" x14ac:dyDescent="0.2">
      <c r="A9" s="27" t="s">
        <v>226</v>
      </c>
      <c r="B9" s="27" t="s">
        <v>227</v>
      </c>
      <c r="C9" s="27" t="s">
        <v>228</v>
      </c>
      <c r="D9" s="27" t="s">
        <v>179</v>
      </c>
      <c r="E9" s="28">
        <f>COUNTIF('Master Plan'!$D:$D,A9)</f>
        <v>7</v>
      </c>
      <c r="F9" s="28">
        <f>COUNTIFS('Master Plan'!$D:$D,A9,'Master Plan'!$N:$N,"Complete")</f>
        <v>0</v>
      </c>
      <c r="G9" s="29">
        <f t="shared" si="0"/>
        <v>0</v>
      </c>
      <c r="H9" s="28" t="str">
        <f>IF(E9=0,"No tasks",IF(G9=1,"Achieved",IF(COUNTIFS('Master Plan'!$D:$D,A9,'Master Plan'!$N:$N,"At Risk")+COUNTIFS('Master Plan'!$D:$D,A9,'Master Plan'!$N:$N,"Blocked")&gt;0,"At Risk","On Track")))</f>
        <v>On Track</v>
      </c>
    </row>
    <row r="10" spans="1:8" ht="28" x14ac:dyDescent="0.2">
      <c r="A10" s="27" t="s">
        <v>229</v>
      </c>
      <c r="B10" s="27" t="s">
        <v>230</v>
      </c>
      <c r="C10" s="27" t="s">
        <v>231</v>
      </c>
      <c r="D10" s="27" t="s">
        <v>165</v>
      </c>
      <c r="E10" s="28">
        <f>COUNTIF('Master Plan'!$D:$D,A10)</f>
        <v>11</v>
      </c>
      <c r="F10" s="28">
        <f>COUNTIFS('Master Plan'!$D:$D,A10,'Master Plan'!$N:$N,"Complete")</f>
        <v>0</v>
      </c>
      <c r="G10" s="29">
        <f t="shared" si="0"/>
        <v>0</v>
      </c>
      <c r="H10" s="28" t="str">
        <f>IF(E10=0,"No tasks",IF(G10=1,"Achieved",IF(COUNTIFS('Master Plan'!$D:$D,A10,'Master Plan'!$N:$N,"At Risk")+COUNTIFS('Master Plan'!$D:$D,A10,'Master Plan'!$N:$N,"Blocked")&gt;0,"At Risk","On Track")))</f>
        <v>On Track</v>
      </c>
    </row>
    <row r="11" spans="1:8" x14ac:dyDescent="0.2">
      <c r="A11" s="27" t="s">
        <v>232</v>
      </c>
      <c r="B11" s="27" t="s">
        <v>233</v>
      </c>
      <c r="C11" s="27" t="s">
        <v>234</v>
      </c>
      <c r="D11" s="27" t="s">
        <v>184</v>
      </c>
      <c r="E11" s="28">
        <f>COUNTIF('Master Plan'!$D:$D,A11)</f>
        <v>4</v>
      </c>
      <c r="F11" s="28">
        <v>3</v>
      </c>
      <c r="G11" s="29">
        <f t="shared" si="0"/>
        <v>0.75</v>
      </c>
      <c r="H11" s="28" t="str">
        <f>IF(E11=0,"No tasks",IF(G11=1,"Achieved",IF(COUNTIFS('Master Plan'!$D:$D,A11,'Master Plan'!$N:$N,"At Risk")+COUNTIFS('Master Plan'!$D:$D,A11,'Master Plan'!$N:$N,"Blocked")&gt;0,"At Risk","On Track")))</f>
        <v>On Track</v>
      </c>
    </row>
    <row r="12" spans="1:8" ht="28" x14ac:dyDescent="0.2">
      <c r="A12" s="27" t="s">
        <v>235</v>
      </c>
      <c r="B12" s="27" t="s">
        <v>236</v>
      </c>
      <c r="C12" s="27" t="s">
        <v>237</v>
      </c>
      <c r="D12" s="27" t="s">
        <v>201</v>
      </c>
      <c r="E12" s="28">
        <f>COUNTIF('Master Plan'!$D:$D,A12)</f>
        <v>4</v>
      </c>
      <c r="F12" s="28">
        <v>2</v>
      </c>
      <c r="G12" s="29">
        <f t="shared" si="0"/>
        <v>0.5</v>
      </c>
      <c r="H12" s="28" t="str">
        <f>IF(E12=0,"No tasks",IF(G12=1,"Achieved",IF(COUNTIFS('Master Plan'!$D:$D,A12,'Master Plan'!$N:$N,"At Risk")+COUNTIFS('Master Plan'!$D:$D,A12,'Master Plan'!$N:$N,"Blocked")&gt;0,"At Risk","On Track")))</f>
        <v>On Track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5"/>
  <sheetViews>
    <sheetView zoomScaleNormal="100" workbookViewId="0">
      <pane xSplit="6" ySplit="4" topLeftCell="G50" activePane="bottomRight" state="frozen"/>
      <selection pane="topRight" activeCell="G1" sqref="G1"/>
      <selection pane="bottomLeft" activeCell="A5" sqref="A5"/>
      <selection pane="bottomRight" activeCell="F86" sqref="F86"/>
    </sheetView>
  </sheetViews>
  <sheetFormatPr baseColWidth="10" defaultColWidth="8.6640625" defaultRowHeight="15" x14ac:dyDescent="0.2"/>
  <cols>
    <col min="1" max="1" width="9" customWidth="1"/>
    <col min="2" max="3" width="20" customWidth="1"/>
    <col min="4" max="4" width="11" customWidth="1"/>
    <col min="5" max="5" width="26" customWidth="1"/>
    <col min="6" max="6" width="52" customWidth="1"/>
    <col min="7" max="10" width="14" customWidth="1"/>
    <col min="11" max="12" width="11" customWidth="1"/>
    <col min="13" max="13" width="10" customWidth="1"/>
    <col min="14" max="14" width="13" customWidth="1"/>
    <col min="15" max="15" width="10" customWidth="1"/>
    <col min="16" max="16" width="18" customWidth="1"/>
    <col min="17" max="17" width="14" customWidth="1"/>
    <col min="18" max="18" width="7" customWidth="1"/>
    <col min="19" max="19" width="22" customWidth="1"/>
    <col min="20" max="21" width="10" customWidth="1"/>
    <col min="22" max="22" width="12" customWidth="1"/>
    <col min="23" max="23" width="30" customWidth="1"/>
  </cols>
  <sheetData>
    <row r="1" spans="1:23" ht="19.75" customHeight="1" x14ac:dyDescent="0.2">
      <c r="A1" s="26" t="s">
        <v>238</v>
      </c>
    </row>
    <row r="2" spans="1:23" ht="15" customHeight="1" x14ac:dyDescent="0.2">
      <c r="A2" s="10" t="s">
        <v>239</v>
      </c>
    </row>
    <row r="4" spans="1:23" ht="31.5" customHeight="1" x14ac:dyDescent="0.2">
      <c r="A4" s="15" t="s">
        <v>240</v>
      </c>
      <c r="B4" s="15" t="s">
        <v>62</v>
      </c>
      <c r="C4" s="15" t="s">
        <v>80</v>
      </c>
      <c r="D4" s="15" t="s">
        <v>207</v>
      </c>
      <c r="E4" s="15" t="s">
        <v>241</v>
      </c>
      <c r="F4" s="15" t="s">
        <v>242</v>
      </c>
      <c r="G4" s="15" t="s">
        <v>243</v>
      </c>
      <c r="H4" s="15" t="s">
        <v>210</v>
      </c>
      <c r="I4" s="15" t="s">
        <v>244</v>
      </c>
      <c r="J4" s="15" t="s">
        <v>245</v>
      </c>
      <c r="K4" s="15" t="s">
        <v>246</v>
      </c>
      <c r="L4" s="15" t="s">
        <v>247</v>
      </c>
      <c r="M4" s="15" t="s">
        <v>248</v>
      </c>
      <c r="N4" s="15" t="s">
        <v>213</v>
      </c>
      <c r="O4" s="15" t="s">
        <v>54</v>
      </c>
      <c r="P4" s="15" t="s">
        <v>249</v>
      </c>
      <c r="Q4" s="15" t="s">
        <v>250</v>
      </c>
      <c r="R4" s="15" t="s">
        <v>251</v>
      </c>
      <c r="S4" s="15" t="s">
        <v>252</v>
      </c>
      <c r="T4" s="15" t="s">
        <v>253</v>
      </c>
      <c r="U4" s="15" t="s">
        <v>254</v>
      </c>
      <c r="V4" s="15" t="s">
        <v>255</v>
      </c>
      <c r="W4" s="15" t="s">
        <v>256</v>
      </c>
    </row>
    <row r="5" spans="1:23" ht="23.75" customHeight="1" x14ac:dyDescent="0.2">
      <c r="A5" s="20" t="s">
        <v>257</v>
      </c>
      <c r="B5" s="27" t="s">
        <v>70</v>
      </c>
      <c r="C5" s="27" t="s">
        <v>89</v>
      </c>
      <c r="D5" s="27" t="s">
        <v>214</v>
      </c>
      <c r="E5" s="27" t="s">
        <v>258</v>
      </c>
      <c r="F5" s="27" t="s">
        <v>259</v>
      </c>
      <c r="G5" s="27" t="s">
        <v>121</v>
      </c>
      <c r="H5" s="27" t="s">
        <v>114</v>
      </c>
      <c r="I5" s="27" t="s">
        <v>184</v>
      </c>
      <c r="J5" s="27" t="s">
        <v>160</v>
      </c>
      <c r="K5" s="30">
        <v>46300</v>
      </c>
      <c r="L5" s="30">
        <v>46306</v>
      </c>
      <c r="M5" s="20">
        <f t="shared" ref="M5:M36" si="0">IF(OR(K5="",L5=""),"",L5-K5+1)</f>
        <v>7</v>
      </c>
      <c r="N5" s="27" t="s">
        <v>53</v>
      </c>
      <c r="O5" s="31">
        <v>1</v>
      </c>
      <c r="P5" s="27"/>
      <c r="Q5" s="27" t="s">
        <v>260</v>
      </c>
      <c r="R5" s="27" t="s">
        <v>261</v>
      </c>
      <c r="S5" s="27"/>
      <c r="T5" s="20">
        <f t="shared" ref="T5:T36" ca="1" si="1">IF(OR(N5="Complete",N5="Deferred",L5=""),0,MAX(0,TODAY()-L5))</f>
        <v>0</v>
      </c>
      <c r="U5" s="20" t="str">
        <f t="shared" ref="U5:U36" ca="1" si="2">IF(N5="Complete","Done",IF(OR(N5="Blocked",T5&gt;5),"Red",IF(OR(N5="At Risk",T5&gt;0,AND(N5="Not Started",K5&lt;TODAY())),"Amber","Green")))</f>
        <v>Done</v>
      </c>
      <c r="V5" s="30">
        <v>46321</v>
      </c>
      <c r="W5" s="27"/>
    </row>
    <row r="6" spans="1:23" ht="15" customHeight="1" x14ac:dyDescent="0.2">
      <c r="A6" s="20" t="s">
        <v>262</v>
      </c>
      <c r="B6" s="27" t="s">
        <v>70</v>
      </c>
      <c r="C6" s="27" t="s">
        <v>89</v>
      </c>
      <c r="D6" s="27" t="s">
        <v>214</v>
      </c>
      <c r="E6" s="27" t="s">
        <v>258</v>
      </c>
      <c r="F6" s="27" t="s">
        <v>263</v>
      </c>
      <c r="G6" s="27" t="s">
        <v>114</v>
      </c>
      <c r="H6" s="27" t="s">
        <v>114</v>
      </c>
      <c r="I6" s="27" t="s">
        <v>121</v>
      </c>
      <c r="J6" s="27" t="s">
        <v>125</v>
      </c>
      <c r="K6" s="30">
        <v>46307</v>
      </c>
      <c r="L6" s="30">
        <v>46313</v>
      </c>
      <c r="M6" s="20">
        <f t="shared" si="0"/>
        <v>7</v>
      </c>
      <c r="N6" s="27" t="s">
        <v>53</v>
      </c>
      <c r="O6" s="31">
        <v>1</v>
      </c>
      <c r="P6" s="27" t="s">
        <v>257</v>
      </c>
      <c r="Q6" s="27" t="s">
        <v>260</v>
      </c>
      <c r="R6" s="27" t="s">
        <v>261</v>
      </c>
      <c r="S6" s="27"/>
      <c r="T6" s="20">
        <f t="shared" ca="1" si="1"/>
        <v>0</v>
      </c>
      <c r="U6" s="20" t="str">
        <f t="shared" ca="1" si="2"/>
        <v>Done</v>
      </c>
      <c r="V6" s="30">
        <v>46321</v>
      </c>
      <c r="W6" s="27"/>
    </row>
    <row r="7" spans="1:23" ht="15" customHeight="1" x14ac:dyDescent="0.2">
      <c r="A7" s="20" t="s">
        <v>264</v>
      </c>
      <c r="B7" s="27" t="s">
        <v>70</v>
      </c>
      <c r="C7" s="27" t="s">
        <v>89</v>
      </c>
      <c r="D7" s="27" t="s">
        <v>214</v>
      </c>
      <c r="E7" s="27" t="s">
        <v>105</v>
      </c>
      <c r="F7" s="27" t="s">
        <v>265</v>
      </c>
      <c r="G7" s="27" t="s">
        <v>121</v>
      </c>
      <c r="H7" s="27" t="s">
        <v>114</v>
      </c>
      <c r="I7" s="27" t="s">
        <v>160</v>
      </c>
      <c r="J7" s="27" t="s">
        <v>125</v>
      </c>
      <c r="K7" s="30">
        <v>46300</v>
      </c>
      <c r="L7" s="30">
        <v>46306</v>
      </c>
      <c r="M7" s="20">
        <f t="shared" si="0"/>
        <v>7</v>
      </c>
      <c r="N7" s="27" t="s">
        <v>53</v>
      </c>
      <c r="O7" s="31">
        <v>1</v>
      </c>
      <c r="P7" s="27"/>
      <c r="Q7" s="27" t="s">
        <v>260</v>
      </c>
      <c r="R7" s="27" t="s">
        <v>261</v>
      </c>
      <c r="S7" s="27"/>
      <c r="T7" s="20">
        <f t="shared" ca="1" si="1"/>
        <v>0</v>
      </c>
      <c r="U7" s="20" t="str">
        <f t="shared" ca="1" si="2"/>
        <v>Done</v>
      </c>
      <c r="V7" s="30">
        <v>46321</v>
      </c>
      <c r="W7" s="27"/>
    </row>
    <row r="8" spans="1:23" ht="15" customHeight="1" x14ac:dyDescent="0.2">
      <c r="A8" s="20" t="s">
        <v>266</v>
      </c>
      <c r="B8" s="27" t="s">
        <v>70</v>
      </c>
      <c r="C8" s="27" t="s">
        <v>84</v>
      </c>
      <c r="D8" s="27" t="s">
        <v>232</v>
      </c>
      <c r="E8" s="27" t="s">
        <v>267</v>
      </c>
      <c r="F8" s="27" t="s">
        <v>268</v>
      </c>
      <c r="G8" s="27" t="s">
        <v>184</v>
      </c>
      <c r="H8" s="27" t="s">
        <v>114</v>
      </c>
      <c r="I8" s="27" t="s">
        <v>121</v>
      </c>
      <c r="J8" s="27" t="s">
        <v>169</v>
      </c>
      <c r="K8" s="30">
        <v>46307</v>
      </c>
      <c r="L8" s="30">
        <v>46320</v>
      </c>
      <c r="M8" s="20">
        <f t="shared" si="0"/>
        <v>14</v>
      </c>
      <c r="N8" s="27" t="s">
        <v>53</v>
      </c>
      <c r="O8" s="31">
        <v>1</v>
      </c>
      <c r="P8" s="27" t="s">
        <v>262</v>
      </c>
      <c r="Q8" s="27" t="s">
        <v>260</v>
      </c>
      <c r="R8" s="27" t="s">
        <v>261</v>
      </c>
      <c r="S8" s="27"/>
      <c r="T8" s="20">
        <f t="shared" ca="1" si="1"/>
        <v>0</v>
      </c>
      <c r="U8" s="20" t="str">
        <f t="shared" ca="1" si="2"/>
        <v>Done</v>
      </c>
      <c r="V8" s="30">
        <v>46321</v>
      </c>
      <c r="W8" s="27"/>
    </row>
    <row r="9" spans="1:23" ht="23.75" customHeight="1" x14ac:dyDescent="0.2">
      <c r="A9" s="20" t="s">
        <v>269</v>
      </c>
      <c r="B9" s="27" t="s">
        <v>70</v>
      </c>
      <c r="C9" s="27" t="s">
        <v>89</v>
      </c>
      <c r="D9" s="27" t="s">
        <v>214</v>
      </c>
      <c r="E9" s="27" t="s">
        <v>270</v>
      </c>
      <c r="F9" s="27" t="s">
        <v>271</v>
      </c>
      <c r="G9" s="27" t="s">
        <v>121</v>
      </c>
      <c r="H9" s="27" t="s">
        <v>114</v>
      </c>
      <c r="I9" s="27" t="s">
        <v>125</v>
      </c>
      <c r="J9" s="27" t="s">
        <v>160</v>
      </c>
      <c r="K9" s="30">
        <v>46307</v>
      </c>
      <c r="L9" s="30">
        <v>46313</v>
      </c>
      <c r="M9" s="20">
        <f t="shared" si="0"/>
        <v>7</v>
      </c>
      <c r="N9" s="27" t="s">
        <v>53</v>
      </c>
      <c r="O9" s="31">
        <v>1</v>
      </c>
      <c r="P9" s="27" t="s">
        <v>262</v>
      </c>
      <c r="Q9" s="27" t="s">
        <v>272</v>
      </c>
      <c r="R9" s="27" t="s">
        <v>261</v>
      </c>
      <c r="S9" s="27"/>
      <c r="T9" s="20">
        <f t="shared" ca="1" si="1"/>
        <v>0</v>
      </c>
      <c r="U9" s="20" t="str">
        <f t="shared" ca="1" si="2"/>
        <v>Done</v>
      </c>
      <c r="V9" s="30">
        <v>46321</v>
      </c>
      <c r="W9" s="27"/>
    </row>
    <row r="10" spans="1:23" ht="15" customHeight="1" x14ac:dyDescent="0.2">
      <c r="A10" s="20" t="s">
        <v>273</v>
      </c>
      <c r="B10" s="27" t="s">
        <v>70</v>
      </c>
      <c r="C10" s="27" t="s">
        <v>95</v>
      </c>
      <c r="D10" s="27" t="s">
        <v>220</v>
      </c>
      <c r="E10" s="27" t="s">
        <v>274</v>
      </c>
      <c r="F10" s="27" t="s">
        <v>275</v>
      </c>
      <c r="G10" s="27" t="s">
        <v>169</v>
      </c>
      <c r="H10" s="27" t="s">
        <v>121</v>
      </c>
      <c r="I10" s="27" t="s">
        <v>143</v>
      </c>
      <c r="J10" s="27" t="s">
        <v>184</v>
      </c>
      <c r="K10" s="30">
        <v>46307</v>
      </c>
      <c r="L10" s="30">
        <v>46320</v>
      </c>
      <c r="M10" s="20">
        <f t="shared" si="0"/>
        <v>14</v>
      </c>
      <c r="N10" s="27" t="s">
        <v>64</v>
      </c>
      <c r="O10" s="31">
        <v>0.4</v>
      </c>
      <c r="P10" s="27"/>
      <c r="Q10" s="27" t="s">
        <v>260</v>
      </c>
      <c r="R10" s="27" t="s">
        <v>261</v>
      </c>
      <c r="S10" s="27"/>
      <c r="T10" s="20">
        <f t="shared" ca="1" si="1"/>
        <v>0</v>
      </c>
      <c r="U10" s="20" t="str">
        <f t="shared" ca="1" si="2"/>
        <v>Green</v>
      </c>
      <c r="V10" s="30">
        <v>46321</v>
      </c>
      <c r="W10" s="27"/>
    </row>
    <row r="11" spans="1:23" ht="23.75" customHeight="1" x14ac:dyDescent="0.2">
      <c r="A11" s="20" t="s">
        <v>276</v>
      </c>
      <c r="B11" s="27" t="s">
        <v>70</v>
      </c>
      <c r="C11" s="27" t="s">
        <v>89</v>
      </c>
      <c r="D11" s="27" t="s">
        <v>214</v>
      </c>
      <c r="E11" s="27" t="s">
        <v>277</v>
      </c>
      <c r="F11" s="27" t="s">
        <v>278</v>
      </c>
      <c r="G11" s="27" t="s">
        <v>121</v>
      </c>
      <c r="H11" s="27" t="s">
        <v>114</v>
      </c>
      <c r="I11" s="27" t="s">
        <v>125</v>
      </c>
      <c r="J11" s="27" t="s">
        <v>160</v>
      </c>
      <c r="K11" s="30">
        <v>46321</v>
      </c>
      <c r="L11" s="30">
        <v>46327</v>
      </c>
      <c r="M11" s="20">
        <f t="shared" si="0"/>
        <v>7</v>
      </c>
      <c r="N11" s="27" t="s">
        <v>64</v>
      </c>
      <c r="O11" s="31">
        <v>0.4</v>
      </c>
      <c r="P11" s="27" t="s">
        <v>279</v>
      </c>
      <c r="Q11" s="27" t="s">
        <v>280</v>
      </c>
      <c r="R11" s="27" t="s">
        <v>261</v>
      </c>
      <c r="S11" s="27"/>
      <c r="T11" s="20">
        <f t="shared" ca="1" si="1"/>
        <v>0</v>
      </c>
      <c r="U11" s="20" t="str">
        <f t="shared" ca="1" si="2"/>
        <v>Green</v>
      </c>
      <c r="V11" s="30">
        <v>46321</v>
      </c>
      <c r="W11" s="27"/>
    </row>
    <row r="12" spans="1:23" ht="23.75" customHeight="1" x14ac:dyDescent="0.2">
      <c r="A12" s="20" t="s">
        <v>281</v>
      </c>
      <c r="B12" s="27" t="s">
        <v>71</v>
      </c>
      <c r="C12" s="27" t="s">
        <v>89</v>
      </c>
      <c r="D12" s="27" t="s">
        <v>214</v>
      </c>
      <c r="E12" s="27" t="s">
        <v>282</v>
      </c>
      <c r="F12" s="27" t="s">
        <v>283</v>
      </c>
      <c r="G12" s="27" t="s">
        <v>121</v>
      </c>
      <c r="H12" s="27" t="s">
        <v>114</v>
      </c>
      <c r="I12" s="27" t="s">
        <v>134</v>
      </c>
      <c r="J12" s="27" t="s">
        <v>160</v>
      </c>
      <c r="K12" s="30">
        <v>46321</v>
      </c>
      <c r="L12" s="30">
        <v>46334</v>
      </c>
      <c r="M12" s="20">
        <f t="shared" si="0"/>
        <v>14</v>
      </c>
      <c r="N12" s="27" t="s">
        <v>64</v>
      </c>
      <c r="O12" s="31">
        <v>0.4</v>
      </c>
      <c r="P12" s="27" t="s">
        <v>276</v>
      </c>
      <c r="Q12" s="27" t="s">
        <v>272</v>
      </c>
      <c r="R12" s="27" t="s">
        <v>284</v>
      </c>
      <c r="S12" s="27"/>
      <c r="T12" s="20">
        <f t="shared" ca="1" si="1"/>
        <v>0</v>
      </c>
      <c r="U12" s="20" t="str">
        <f t="shared" ca="1" si="2"/>
        <v>Green</v>
      </c>
      <c r="V12" s="30">
        <v>46321</v>
      </c>
      <c r="W12" s="27"/>
    </row>
    <row r="13" spans="1:23" ht="15" customHeight="1" x14ac:dyDescent="0.2">
      <c r="A13" s="20" t="s">
        <v>285</v>
      </c>
      <c r="B13" s="27" t="s">
        <v>71</v>
      </c>
      <c r="C13" s="27" t="s">
        <v>89</v>
      </c>
      <c r="D13" s="27" t="s">
        <v>214</v>
      </c>
      <c r="E13" s="27" t="s">
        <v>286</v>
      </c>
      <c r="F13" s="27" t="s">
        <v>287</v>
      </c>
      <c r="G13" s="27" t="s">
        <v>121</v>
      </c>
      <c r="H13" s="27" t="s">
        <v>121</v>
      </c>
      <c r="I13" s="27" t="s">
        <v>134</v>
      </c>
      <c r="J13" s="27" t="s">
        <v>114</v>
      </c>
      <c r="K13" s="30">
        <v>46321</v>
      </c>
      <c r="L13" s="30">
        <v>46327</v>
      </c>
      <c r="M13" s="20">
        <f t="shared" si="0"/>
        <v>7</v>
      </c>
      <c r="N13" s="27" t="s">
        <v>288</v>
      </c>
      <c r="O13" s="31">
        <v>0</v>
      </c>
      <c r="P13" s="27" t="s">
        <v>276</v>
      </c>
      <c r="Q13" s="27" t="s">
        <v>272</v>
      </c>
      <c r="R13" s="27" t="s">
        <v>284</v>
      </c>
      <c r="S13" s="27"/>
      <c r="T13" s="20">
        <f t="shared" ca="1" si="1"/>
        <v>0</v>
      </c>
      <c r="U13" s="20" t="str">
        <f t="shared" ca="1" si="2"/>
        <v>Green</v>
      </c>
      <c r="V13" s="30">
        <v>46321</v>
      </c>
      <c r="W13" s="27"/>
    </row>
    <row r="14" spans="1:23" ht="15" customHeight="1" x14ac:dyDescent="0.2">
      <c r="A14" s="20" t="s">
        <v>289</v>
      </c>
      <c r="B14" s="27" t="s">
        <v>71</v>
      </c>
      <c r="C14" s="27" t="s">
        <v>91</v>
      </c>
      <c r="D14" s="27" t="s">
        <v>226</v>
      </c>
      <c r="E14" s="27" t="s">
        <v>290</v>
      </c>
      <c r="F14" s="27" t="s">
        <v>291</v>
      </c>
      <c r="G14" s="27" t="s">
        <v>129</v>
      </c>
      <c r="H14" s="27" t="s">
        <v>129</v>
      </c>
      <c r="I14" s="27" t="s">
        <v>143</v>
      </c>
      <c r="J14" s="27" t="s">
        <v>160</v>
      </c>
      <c r="K14" s="30">
        <v>46321</v>
      </c>
      <c r="L14" s="30">
        <v>46348</v>
      </c>
      <c r="M14" s="20">
        <f t="shared" si="0"/>
        <v>28</v>
      </c>
      <c r="N14" s="27" t="s">
        <v>288</v>
      </c>
      <c r="O14" s="31">
        <v>0</v>
      </c>
      <c r="P14" s="27" t="s">
        <v>281</v>
      </c>
      <c r="Q14" s="27" t="s">
        <v>272</v>
      </c>
      <c r="R14" s="27" t="s">
        <v>284</v>
      </c>
      <c r="S14" s="27"/>
      <c r="T14" s="20">
        <f t="shared" ca="1" si="1"/>
        <v>0</v>
      </c>
      <c r="U14" s="20" t="str">
        <f t="shared" ca="1" si="2"/>
        <v>Green</v>
      </c>
      <c r="V14" s="30"/>
      <c r="W14" s="27"/>
    </row>
    <row r="15" spans="1:23" ht="15" customHeight="1" x14ac:dyDescent="0.2">
      <c r="A15" s="20" t="s">
        <v>292</v>
      </c>
      <c r="B15" s="27" t="s">
        <v>71</v>
      </c>
      <c r="C15" s="27" t="s">
        <v>91</v>
      </c>
      <c r="D15" s="27" t="s">
        <v>226</v>
      </c>
      <c r="E15" s="27" t="s">
        <v>293</v>
      </c>
      <c r="F15" s="27" t="s">
        <v>294</v>
      </c>
      <c r="G15" s="27" t="s">
        <v>129</v>
      </c>
      <c r="H15" s="27" t="s">
        <v>129</v>
      </c>
      <c r="I15" s="27" t="s">
        <v>179</v>
      </c>
      <c r="J15" s="27" t="s">
        <v>121</v>
      </c>
      <c r="K15" s="30">
        <v>46335</v>
      </c>
      <c r="L15" s="30">
        <v>46355</v>
      </c>
      <c r="M15" s="20">
        <f t="shared" si="0"/>
        <v>21</v>
      </c>
      <c r="N15" s="27" t="s">
        <v>288</v>
      </c>
      <c r="O15" s="31">
        <v>0</v>
      </c>
      <c r="P15" s="27" t="s">
        <v>289</v>
      </c>
      <c r="Q15" s="27" t="s">
        <v>295</v>
      </c>
      <c r="R15" s="27" t="s">
        <v>284</v>
      </c>
      <c r="S15" s="27"/>
      <c r="T15" s="20">
        <f t="shared" ca="1" si="1"/>
        <v>0</v>
      </c>
      <c r="U15" s="20" t="str">
        <f t="shared" ca="1" si="2"/>
        <v>Green</v>
      </c>
      <c r="V15" s="30"/>
      <c r="W15" s="27"/>
    </row>
    <row r="16" spans="1:23" ht="23.75" customHeight="1" x14ac:dyDescent="0.2">
      <c r="A16" s="20" t="s">
        <v>296</v>
      </c>
      <c r="B16" s="27" t="s">
        <v>71</v>
      </c>
      <c r="C16" s="27" t="s">
        <v>88</v>
      </c>
      <c r="D16" s="27" t="s">
        <v>223</v>
      </c>
      <c r="E16" s="27" t="s">
        <v>297</v>
      </c>
      <c r="F16" s="27" t="s">
        <v>298</v>
      </c>
      <c r="G16" s="27" t="s">
        <v>160</v>
      </c>
      <c r="H16" s="27" t="s">
        <v>160</v>
      </c>
      <c r="I16" s="27" t="s">
        <v>134</v>
      </c>
      <c r="J16" s="27" t="s">
        <v>188</v>
      </c>
      <c r="K16" s="30">
        <v>46328</v>
      </c>
      <c r="L16" s="30">
        <v>46355</v>
      </c>
      <c r="M16" s="20">
        <f t="shared" si="0"/>
        <v>28</v>
      </c>
      <c r="N16" s="27" t="s">
        <v>288</v>
      </c>
      <c r="O16" s="31">
        <v>0</v>
      </c>
      <c r="P16" s="27" t="s">
        <v>281</v>
      </c>
      <c r="Q16" s="27" t="s">
        <v>272</v>
      </c>
      <c r="R16" s="27" t="s">
        <v>284</v>
      </c>
      <c r="S16" s="27"/>
      <c r="T16" s="20">
        <f t="shared" ca="1" si="1"/>
        <v>0</v>
      </c>
      <c r="U16" s="20" t="str">
        <f t="shared" ca="1" si="2"/>
        <v>Green</v>
      </c>
      <c r="V16" s="30"/>
      <c r="W16" s="27"/>
    </row>
    <row r="17" spans="1:23" ht="15" customHeight="1" x14ac:dyDescent="0.2">
      <c r="A17" s="20" t="s">
        <v>299</v>
      </c>
      <c r="B17" s="27" t="s">
        <v>71</v>
      </c>
      <c r="C17" s="27" t="s">
        <v>96</v>
      </c>
      <c r="D17" s="27" t="s">
        <v>217</v>
      </c>
      <c r="E17" s="27" t="s">
        <v>300</v>
      </c>
      <c r="F17" s="27" t="s">
        <v>301</v>
      </c>
      <c r="G17" s="27" t="s">
        <v>134</v>
      </c>
      <c r="H17" s="27" t="s">
        <v>134</v>
      </c>
      <c r="I17" s="27" t="s">
        <v>160</v>
      </c>
      <c r="J17" s="27" t="s">
        <v>139</v>
      </c>
      <c r="K17" s="30">
        <v>46335</v>
      </c>
      <c r="L17" s="30">
        <v>46362</v>
      </c>
      <c r="M17" s="20">
        <f t="shared" si="0"/>
        <v>28</v>
      </c>
      <c r="N17" s="27" t="s">
        <v>288</v>
      </c>
      <c r="O17" s="31">
        <v>0</v>
      </c>
      <c r="P17" s="27" t="s">
        <v>296</v>
      </c>
      <c r="Q17" s="27" t="s">
        <v>272</v>
      </c>
      <c r="R17" s="27" t="s">
        <v>284</v>
      </c>
      <c r="S17" s="27"/>
      <c r="T17" s="20">
        <f t="shared" ca="1" si="1"/>
        <v>0</v>
      </c>
      <c r="U17" s="20" t="str">
        <f t="shared" ca="1" si="2"/>
        <v>Green</v>
      </c>
      <c r="V17" s="30"/>
      <c r="W17" s="27"/>
    </row>
    <row r="18" spans="1:23" ht="15" customHeight="1" x14ac:dyDescent="0.2">
      <c r="A18" s="20" t="s">
        <v>302</v>
      </c>
      <c r="B18" s="27" t="s">
        <v>71</v>
      </c>
      <c r="C18" s="27" t="s">
        <v>96</v>
      </c>
      <c r="D18" s="27" t="s">
        <v>217</v>
      </c>
      <c r="E18" s="27" t="s">
        <v>303</v>
      </c>
      <c r="F18" s="27" t="s">
        <v>304</v>
      </c>
      <c r="G18" s="27" t="s">
        <v>139</v>
      </c>
      <c r="H18" s="27" t="s">
        <v>134</v>
      </c>
      <c r="I18" s="27" t="s">
        <v>148</v>
      </c>
      <c r="J18" s="27" t="s">
        <v>193</v>
      </c>
      <c r="K18" s="30">
        <v>46342</v>
      </c>
      <c r="L18" s="30">
        <v>46362</v>
      </c>
      <c r="M18" s="20">
        <f t="shared" si="0"/>
        <v>21</v>
      </c>
      <c r="N18" s="27" t="s">
        <v>288</v>
      </c>
      <c r="O18" s="31">
        <v>0</v>
      </c>
      <c r="P18" s="27" t="s">
        <v>299</v>
      </c>
      <c r="Q18" s="27" t="s">
        <v>272</v>
      </c>
      <c r="R18" s="27" t="s">
        <v>284</v>
      </c>
      <c r="S18" s="27"/>
      <c r="T18" s="20">
        <f t="shared" ca="1" si="1"/>
        <v>0</v>
      </c>
      <c r="U18" s="20" t="str">
        <f t="shared" ca="1" si="2"/>
        <v>Green</v>
      </c>
      <c r="V18" s="30"/>
      <c r="W18" s="27"/>
    </row>
    <row r="19" spans="1:23" ht="23.75" customHeight="1" x14ac:dyDescent="0.2">
      <c r="A19" s="20" t="s">
        <v>305</v>
      </c>
      <c r="B19" s="27" t="s">
        <v>71</v>
      </c>
      <c r="C19" s="27" t="s">
        <v>81</v>
      </c>
      <c r="D19" s="27" t="s">
        <v>220</v>
      </c>
      <c r="E19" s="27" t="s">
        <v>306</v>
      </c>
      <c r="F19" s="27" t="s">
        <v>307</v>
      </c>
      <c r="G19" s="27" t="s">
        <v>143</v>
      </c>
      <c r="H19" s="27" t="s">
        <v>143</v>
      </c>
      <c r="I19" s="27" t="s">
        <v>174</v>
      </c>
      <c r="J19" s="27" t="s">
        <v>134</v>
      </c>
      <c r="K19" s="30">
        <v>46328</v>
      </c>
      <c r="L19" s="30">
        <v>46362</v>
      </c>
      <c r="M19" s="20">
        <f t="shared" si="0"/>
        <v>35</v>
      </c>
      <c r="N19" s="27" t="s">
        <v>288</v>
      </c>
      <c r="O19" s="31">
        <v>0</v>
      </c>
      <c r="P19" s="27" t="s">
        <v>289</v>
      </c>
      <c r="Q19" s="27" t="s">
        <v>272</v>
      </c>
      <c r="R19" s="27" t="s">
        <v>284</v>
      </c>
      <c r="S19" s="27"/>
      <c r="T19" s="20">
        <f t="shared" ca="1" si="1"/>
        <v>0</v>
      </c>
      <c r="U19" s="20" t="str">
        <f t="shared" ca="1" si="2"/>
        <v>Green</v>
      </c>
      <c r="V19" s="30"/>
      <c r="W19" s="27"/>
    </row>
    <row r="20" spans="1:23" ht="15" customHeight="1" x14ac:dyDescent="0.2">
      <c r="A20" s="20" t="s">
        <v>308</v>
      </c>
      <c r="B20" s="27" t="s">
        <v>71</v>
      </c>
      <c r="C20" s="27" t="s">
        <v>87</v>
      </c>
      <c r="D20" s="27" t="s">
        <v>229</v>
      </c>
      <c r="E20" s="27" t="s">
        <v>309</v>
      </c>
      <c r="F20" s="27" t="s">
        <v>310</v>
      </c>
      <c r="G20" s="27" t="s">
        <v>148</v>
      </c>
      <c r="H20" s="27" t="s">
        <v>148</v>
      </c>
      <c r="I20" s="27" t="s">
        <v>139</v>
      </c>
      <c r="J20" s="27" t="s">
        <v>165</v>
      </c>
      <c r="K20" s="30">
        <v>46342</v>
      </c>
      <c r="L20" s="30">
        <v>46362</v>
      </c>
      <c r="M20" s="20">
        <f t="shared" si="0"/>
        <v>21</v>
      </c>
      <c r="N20" s="27" t="s">
        <v>288</v>
      </c>
      <c r="O20" s="31">
        <v>0</v>
      </c>
      <c r="P20" s="27" t="s">
        <v>302</v>
      </c>
      <c r="Q20" s="27" t="s">
        <v>272</v>
      </c>
      <c r="R20" s="27" t="s">
        <v>284</v>
      </c>
      <c r="S20" s="27"/>
      <c r="T20" s="20">
        <f t="shared" ca="1" si="1"/>
        <v>0</v>
      </c>
      <c r="U20" s="20" t="str">
        <f t="shared" ca="1" si="2"/>
        <v>Green</v>
      </c>
      <c r="V20" s="30"/>
      <c r="W20" s="27"/>
    </row>
    <row r="21" spans="1:23" ht="23.75" customHeight="1" x14ac:dyDescent="0.2">
      <c r="A21" s="20" t="s">
        <v>311</v>
      </c>
      <c r="B21" s="27" t="s">
        <v>71</v>
      </c>
      <c r="C21" s="27" t="s">
        <v>87</v>
      </c>
      <c r="D21" s="27" t="s">
        <v>217</v>
      </c>
      <c r="E21" s="27" t="s">
        <v>312</v>
      </c>
      <c r="F21" s="27" t="s">
        <v>313</v>
      </c>
      <c r="G21" s="27" t="s">
        <v>152</v>
      </c>
      <c r="H21" s="27" t="s">
        <v>148</v>
      </c>
      <c r="I21" s="27" t="s">
        <v>134</v>
      </c>
      <c r="J21" s="27" t="s">
        <v>160</v>
      </c>
      <c r="K21" s="30">
        <v>46349</v>
      </c>
      <c r="L21" s="30">
        <v>46362</v>
      </c>
      <c r="M21" s="20">
        <f t="shared" si="0"/>
        <v>14</v>
      </c>
      <c r="N21" s="27" t="s">
        <v>288</v>
      </c>
      <c r="O21" s="31">
        <v>0</v>
      </c>
      <c r="P21" s="27" t="s">
        <v>308</v>
      </c>
      <c r="Q21" s="27" t="s">
        <v>272</v>
      </c>
      <c r="R21" s="27" t="s">
        <v>284</v>
      </c>
      <c r="S21" s="27"/>
      <c r="T21" s="20">
        <f t="shared" ca="1" si="1"/>
        <v>0</v>
      </c>
      <c r="U21" s="20" t="str">
        <f t="shared" ca="1" si="2"/>
        <v>Green</v>
      </c>
      <c r="V21" s="30"/>
      <c r="W21" s="27"/>
    </row>
    <row r="22" spans="1:23" ht="23.75" customHeight="1" x14ac:dyDescent="0.2">
      <c r="A22" s="20" t="s">
        <v>314</v>
      </c>
      <c r="B22" s="27" t="s">
        <v>71</v>
      </c>
      <c r="C22" s="27" t="s">
        <v>93</v>
      </c>
      <c r="D22" s="27" t="s">
        <v>217</v>
      </c>
      <c r="E22" s="27" t="s">
        <v>315</v>
      </c>
      <c r="F22" s="27" t="s">
        <v>316</v>
      </c>
      <c r="G22" s="27" t="s">
        <v>156</v>
      </c>
      <c r="H22" s="27" t="s">
        <v>156</v>
      </c>
      <c r="I22" s="27" t="s">
        <v>134</v>
      </c>
      <c r="J22" s="27" t="s">
        <v>143</v>
      </c>
      <c r="K22" s="30">
        <v>46356</v>
      </c>
      <c r="L22" s="30">
        <v>46369</v>
      </c>
      <c r="M22" s="20">
        <f t="shared" si="0"/>
        <v>14</v>
      </c>
      <c r="N22" s="27" t="s">
        <v>288</v>
      </c>
      <c r="O22" s="31">
        <v>0</v>
      </c>
      <c r="P22" s="27" t="s">
        <v>299</v>
      </c>
      <c r="Q22" s="27" t="s">
        <v>272</v>
      </c>
      <c r="R22" s="27" t="s">
        <v>284</v>
      </c>
      <c r="S22" s="27"/>
      <c r="T22" s="20">
        <f t="shared" ca="1" si="1"/>
        <v>0</v>
      </c>
      <c r="U22" s="20" t="str">
        <f t="shared" ca="1" si="2"/>
        <v>Green</v>
      </c>
      <c r="V22" s="30"/>
      <c r="W22" s="27"/>
    </row>
    <row r="23" spans="1:23" ht="23.75" customHeight="1" x14ac:dyDescent="0.2">
      <c r="A23" s="20" t="s">
        <v>317</v>
      </c>
      <c r="B23" s="27" t="s">
        <v>71</v>
      </c>
      <c r="C23" s="27" t="s">
        <v>86</v>
      </c>
      <c r="D23" s="27" t="s">
        <v>217</v>
      </c>
      <c r="E23" s="27" t="s">
        <v>318</v>
      </c>
      <c r="F23" s="27" t="s">
        <v>319</v>
      </c>
      <c r="G23" s="27" t="s">
        <v>193</v>
      </c>
      <c r="H23" s="27" t="s">
        <v>193</v>
      </c>
      <c r="I23" s="27" t="s">
        <v>139</v>
      </c>
      <c r="J23" s="27" t="s">
        <v>129</v>
      </c>
      <c r="K23" s="30">
        <v>46342</v>
      </c>
      <c r="L23" s="30">
        <v>46362</v>
      </c>
      <c r="M23" s="20">
        <f t="shared" si="0"/>
        <v>21</v>
      </c>
      <c r="N23" s="27" t="s">
        <v>288</v>
      </c>
      <c r="O23" s="31">
        <v>0</v>
      </c>
      <c r="P23" s="27" t="s">
        <v>289</v>
      </c>
      <c r="Q23" s="27" t="s">
        <v>272</v>
      </c>
      <c r="R23" s="27" t="s">
        <v>284</v>
      </c>
      <c r="S23" s="27"/>
      <c r="T23" s="20">
        <f t="shared" ca="1" si="1"/>
        <v>0</v>
      </c>
      <c r="U23" s="20" t="str">
        <f t="shared" ca="1" si="2"/>
        <v>Green</v>
      </c>
      <c r="V23" s="30"/>
      <c r="W23" s="27"/>
    </row>
    <row r="24" spans="1:23" ht="15" customHeight="1" x14ac:dyDescent="0.2">
      <c r="A24" s="20" t="s">
        <v>320</v>
      </c>
      <c r="B24" s="27" t="s">
        <v>71</v>
      </c>
      <c r="C24" s="27" t="s">
        <v>94</v>
      </c>
      <c r="D24" s="27" t="s">
        <v>229</v>
      </c>
      <c r="E24" s="27" t="s">
        <v>321</v>
      </c>
      <c r="F24" s="27" t="s">
        <v>322</v>
      </c>
      <c r="G24" s="27" t="s">
        <v>165</v>
      </c>
      <c r="H24" s="27" t="s">
        <v>165</v>
      </c>
      <c r="I24" s="27" t="s">
        <v>160</v>
      </c>
      <c r="J24" s="27" t="s">
        <v>148</v>
      </c>
      <c r="K24" s="30">
        <v>46349</v>
      </c>
      <c r="L24" s="30">
        <v>46369</v>
      </c>
      <c r="M24" s="20">
        <f t="shared" si="0"/>
        <v>21</v>
      </c>
      <c r="N24" s="27" t="s">
        <v>288</v>
      </c>
      <c r="O24" s="31">
        <v>0</v>
      </c>
      <c r="P24" s="27" t="s">
        <v>296</v>
      </c>
      <c r="Q24" s="27" t="s">
        <v>272</v>
      </c>
      <c r="R24" s="27" t="s">
        <v>284</v>
      </c>
      <c r="S24" s="27"/>
      <c r="T24" s="20">
        <f t="shared" ca="1" si="1"/>
        <v>0</v>
      </c>
      <c r="U24" s="20" t="str">
        <f t="shared" ca="1" si="2"/>
        <v>Green</v>
      </c>
      <c r="V24" s="30"/>
      <c r="W24" s="27"/>
    </row>
    <row r="25" spans="1:23" ht="15" customHeight="1" x14ac:dyDescent="0.2">
      <c r="A25" s="20" t="s">
        <v>323</v>
      </c>
      <c r="B25" s="27" t="s">
        <v>71</v>
      </c>
      <c r="C25" s="27" t="s">
        <v>82</v>
      </c>
      <c r="D25" s="27" t="s">
        <v>223</v>
      </c>
      <c r="E25" s="27" t="s">
        <v>324</v>
      </c>
      <c r="F25" s="27" t="s">
        <v>325</v>
      </c>
      <c r="G25" s="27" t="s">
        <v>188</v>
      </c>
      <c r="H25" s="27" t="s">
        <v>188</v>
      </c>
      <c r="I25" s="27" t="s">
        <v>160</v>
      </c>
      <c r="J25" s="27" t="s">
        <v>121</v>
      </c>
      <c r="K25" s="30">
        <v>46356</v>
      </c>
      <c r="L25" s="30">
        <v>46369</v>
      </c>
      <c r="M25" s="20">
        <f t="shared" si="0"/>
        <v>14</v>
      </c>
      <c r="N25" s="27" t="s">
        <v>288</v>
      </c>
      <c r="O25" s="31">
        <v>0</v>
      </c>
      <c r="P25" s="27" t="s">
        <v>296</v>
      </c>
      <c r="Q25" s="27" t="s">
        <v>272</v>
      </c>
      <c r="R25" s="27" t="s">
        <v>284</v>
      </c>
      <c r="S25" s="27"/>
      <c r="T25" s="20">
        <f t="shared" ca="1" si="1"/>
        <v>0</v>
      </c>
      <c r="U25" s="20" t="str">
        <f t="shared" ca="1" si="2"/>
        <v>Green</v>
      </c>
      <c r="V25" s="30"/>
      <c r="W25" s="27"/>
    </row>
    <row r="26" spans="1:23" ht="23.75" customHeight="1" x14ac:dyDescent="0.2">
      <c r="A26" s="20" t="s">
        <v>326</v>
      </c>
      <c r="B26" s="27" t="s">
        <v>71</v>
      </c>
      <c r="C26" s="27" t="s">
        <v>95</v>
      </c>
      <c r="D26" s="27" t="s">
        <v>232</v>
      </c>
      <c r="E26" s="27" t="s">
        <v>327</v>
      </c>
      <c r="F26" s="27" t="s">
        <v>328</v>
      </c>
      <c r="G26" s="27" t="s">
        <v>169</v>
      </c>
      <c r="H26" s="27" t="s">
        <v>169</v>
      </c>
      <c r="I26" s="27" t="s">
        <v>184</v>
      </c>
      <c r="J26" s="27" t="s">
        <v>121</v>
      </c>
      <c r="K26" s="30">
        <v>46328</v>
      </c>
      <c r="L26" s="30">
        <v>46355</v>
      </c>
      <c r="M26" s="20">
        <f t="shared" si="0"/>
        <v>28</v>
      </c>
      <c r="N26" s="27" t="s">
        <v>288</v>
      </c>
      <c r="O26" s="31">
        <v>0</v>
      </c>
      <c r="P26" s="27" t="s">
        <v>273</v>
      </c>
      <c r="Q26" s="27" t="s">
        <v>295</v>
      </c>
      <c r="R26" s="27" t="s">
        <v>284</v>
      </c>
      <c r="S26" s="27"/>
      <c r="T26" s="20">
        <f t="shared" ca="1" si="1"/>
        <v>0</v>
      </c>
      <c r="U26" s="20" t="str">
        <f t="shared" ca="1" si="2"/>
        <v>Green</v>
      </c>
      <c r="V26" s="30"/>
      <c r="W26" s="27"/>
    </row>
    <row r="27" spans="1:23" ht="23.75" customHeight="1" x14ac:dyDescent="0.2">
      <c r="A27" s="20" t="s">
        <v>329</v>
      </c>
      <c r="B27" s="27" t="s">
        <v>71</v>
      </c>
      <c r="C27" s="27" t="s">
        <v>89</v>
      </c>
      <c r="D27" s="27" t="s">
        <v>214</v>
      </c>
      <c r="E27" s="27" t="s">
        <v>330</v>
      </c>
      <c r="F27" s="27" t="s">
        <v>331</v>
      </c>
      <c r="G27" s="27" t="s">
        <v>121</v>
      </c>
      <c r="H27" s="27" t="s">
        <v>114</v>
      </c>
      <c r="I27" s="27" t="s">
        <v>134</v>
      </c>
      <c r="J27" s="27" t="s">
        <v>160</v>
      </c>
      <c r="K27" s="30">
        <v>46377</v>
      </c>
      <c r="L27" s="30">
        <v>46383</v>
      </c>
      <c r="M27" s="20">
        <f t="shared" si="0"/>
        <v>7</v>
      </c>
      <c r="N27" s="27" t="s">
        <v>288</v>
      </c>
      <c r="O27" s="31">
        <v>0</v>
      </c>
      <c r="P27" s="27" t="s">
        <v>332</v>
      </c>
      <c r="Q27" s="27" t="s">
        <v>280</v>
      </c>
      <c r="R27" s="27" t="s">
        <v>284</v>
      </c>
      <c r="S27" s="27"/>
      <c r="T27" s="20">
        <f t="shared" ca="1" si="1"/>
        <v>0</v>
      </c>
      <c r="U27" s="20" t="str">
        <f t="shared" ca="1" si="2"/>
        <v>Green</v>
      </c>
      <c r="V27" s="30"/>
      <c r="W27" s="27"/>
    </row>
    <row r="28" spans="1:23" ht="15" customHeight="1" x14ac:dyDescent="0.2">
      <c r="A28" s="20" t="s">
        <v>333</v>
      </c>
      <c r="B28" s="27" t="s">
        <v>72</v>
      </c>
      <c r="C28" s="27" t="s">
        <v>96</v>
      </c>
      <c r="D28" s="27" t="s">
        <v>217</v>
      </c>
      <c r="E28" s="27" t="s">
        <v>334</v>
      </c>
      <c r="F28" s="27" t="s">
        <v>335</v>
      </c>
      <c r="G28" s="27" t="s">
        <v>139</v>
      </c>
      <c r="H28" s="27" t="s">
        <v>134</v>
      </c>
      <c r="I28" s="27" t="s">
        <v>160</v>
      </c>
      <c r="J28" s="27" t="s">
        <v>156</v>
      </c>
      <c r="K28" s="30">
        <v>46384</v>
      </c>
      <c r="L28" s="30">
        <v>46439</v>
      </c>
      <c r="M28" s="20">
        <f t="shared" si="0"/>
        <v>56</v>
      </c>
      <c r="N28" s="27" t="s">
        <v>288</v>
      </c>
      <c r="O28" s="31">
        <v>0</v>
      </c>
      <c r="P28" s="27" t="s">
        <v>329</v>
      </c>
      <c r="Q28" s="27" t="s">
        <v>295</v>
      </c>
      <c r="R28" s="27" t="s">
        <v>336</v>
      </c>
      <c r="S28" s="27"/>
      <c r="T28" s="20">
        <f t="shared" ca="1" si="1"/>
        <v>0</v>
      </c>
      <c r="U28" s="20" t="str">
        <f t="shared" ca="1" si="2"/>
        <v>Green</v>
      </c>
      <c r="V28" s="30"/>
      <c r="W28" s="27"/>
    </row>
    <row r="29" spans="1:23" ht="15" customHeight="1" x14ac:dyDescent="0.2">
      <c r="A29" s="20" t="s">
        <v>337</v>
      </c>
      <c r="B29" s="27" t="s">
        <v>72</v>
      </c>
      <c r="C29" s="27" t="s">
        <v>96</v>
      </c>
      <c r="D29" s="27" t="s">
        <v>217</v>
      </c>
      <c r="E29" s="27" t="s">
        <v>338</v>
      </c>
      <c r="F29" s="27" t="s">
        <v>339</v>
      </c>
      <c r="G29" s="27" t="s">
        <v>139</v>
      </c>
      <c r="H29" s="27" t="s">
        <v>134</v>
      </c>
      <c r="I29" s="27" t="s">
        <v>156</v>
      </c>
      <c r="J29" s="27" t="s">
        <v>121</v>
      </c>
      <c r="K29" s="30">
        <v>46398</v>
      </c>
      <c r="L29" s="30">
        <v>46453</v>
      </c>
      <c r="M29" s="20">
        <f t="shared" si="0"/>
        <v>56</v>
      </c>
      <c r="N29" s="27" t="s">
        <v>288</v>
      </c>
      <c r="O29" s="31">
        <v>0</v>
      </c>
      <c r="P29" s="27" t="s">
        <v>333</v>
      </c>
      <c r="Q29" s="27" t="s">
        <v>295</v>
      </c>
      <c r="R29" s="27" t="s">
        <v>336</v>
      </c>
      <c r="S29" s="27"/>
      <c r="T29" s="20">
        <f t="shared" ca="1" si="1"/>
        <v>0</v>
      </c>
      <c r="U29" s="20" t="str">
        <f t="shared" ca="1" si="2"/>
        <v>Green</v>
      </c>
      <c r="V29" s="30"/>
      <c r="W29" s="27"/>
    </row>
    <row r="30" spans="1:23" ht="15" customHeight="1" x14ac:dyDescent="0.2">
      <c r="A30" s="20" t="s">
        <v>340</v>
      </c>
      <c r="B30" s="27" t="s">
        <v>72</v>
      </c>
      <c r="C30" s="27" t="s">
        <v>96</v>
      </c>
      <c r="D30" s="27" t="s">
        <v>217</v>
      </c>
      <c r="E30" s="27" t="s">
        <v>341</v>
      </c>
      <c r="F30" s="27" t="s">
        <v>342</v>
      </c>
      <c r="G30" s="27" t="s">
        <v>139</v>
      </c>
      <c r="H30" s="27" t="s">
        <v>193</v>
      </c>
      <c r="I30" s="27" t="s">
        <v>148</v>
      </c>
      <c r="J30" s="27" t="s">
        <v>156</v>
      </c>
      <c r="K30" s="30">
        <v>46384</v>
      </c>
      <c r="L30" s="30">
        <v>46404</v>
      </c>
      <c r="M30" s="20">
        <f t="shared" si="0"/>
        <v>21</v>
      </c>
      <c r="N30" s="27" t="s">
        <v>288</v>
      </c>
      <c r="O30" s="31">
        <v>0</v>
      </c>
      <c r="P30" s="27" t="s">
        <v>329</v>
      </c>
      <c r="Q30" s="27" t="s">
        <v>295</v>
      </c>
      <c r="R30" s="27" t="s">
        <v>336</v>
      </c>
      <c r="S30" s="27"/>
      <c r="T30" s="20">
        <f t="shared" ca="1" si="1"/>
        <v>0</v>
      </c>
      <c r="U30" s="20" t="str">
        <f t="shared" ca="1" si="2"/>
        <v>Green</v>
      </c>
      <c r="V30" s="30"/>
      <c r="W30" s="27"/>
    </row>
    <row r="31" spans="1:23" ht="15" customHeight="1" x14ac:dyDescent="0.2">
      <c r="A31" s="20" t="s">
        <v>343</v>
      </c>
      <c r="B31" s="27" t="s">
        <v>72</v>
      </c>
      <c r="C31" s="27" t="s">
        <v>87</v>
      </c>
      <c r="D31" s="27" t="s">
        <v>229</v>
      </c>
      <c r="E31" s="27" t="s">
        <v>344</v>
      </c>
      <c r="F31" s="27" t="s">
        <v>345</v>
      </c>
      <c r="G31" s="27" t="s">
        <v>148</v>
      </c>
      <c r="H31" s="27" t="s">
        <v>148</v>
      </c>
      <c r="I31" s="27" t="s">
        <v>139</v>
      </c>
      <c r="J31" s="27" t="s">
        <v>165</v>
      </c>
      <c r="K31" s="30">
        <v>46398</v>
      </c>
      <c r="L31" s="30">
        <v>46467</v>
      </c>
      <c r="M31" s="20">
        <f t="shared" si="0"/>
        <v>70</v>
      </c>
      <c r="N31" s="27" t="s">
        <v>288</v>
      </c>
      <c r="O31" s="31">
        <v>0</v>
      </c>
      <c r="P31" s="27" t="s">
        <v>340</v>
      </c>
      <c r="Q31" s="27" t="s">
        <v>295</v>
      </c>
      <c r="R31" s="27" t="s">
        <v>336</v>
      </c>
      <c r="S31" s="27"/>
      <c r="T31" s="20">
        <f t="shared" ca="1" si="1"/>
        <v>0</v>
      </c>
      <c r="U31" s="20" t="str">
        <f t="shared" ca="1" si="2"/>
        <v>Green</v>
      </c>
      <c r="V31" s="30"/>
      <c r="W31" s="27"/>
    </row>
    <row r="32" spans="1:23" ht="15" customHeight="1" x14ac:dyDescent="0.2">
      <c r="A32" s="20" t="s">
        <v>346</v>
      </c>
      <c r="B32" s="27" t="s">
        <v>72</v>
      </c>
      <c r="C32" s="27" t="s">
        <v>87</v>
      </c>
      <c r="D32" s="27" t="s">
        <v>229</v>
      </c>
      <c r="E32" s="27" t="s">
        <v>347</v>
      </c>
      <c r="F32" s="27" t="s">
        <v>348</v>
      </c>
      <c r="G32" s="27" t="s">
        <v>148</v>
      </c>
      <c r="H32" s="27" t="s">
        <v>148</v>
      </c>
      <c r="I32" s="27" t="s">
        <v>169</v>
      </c>
      <c r="J32" s="27" t="s">
        <v>165</v>
      </c>
      <c r="K32" s="30">
        <v>46426</v>
      </c>
      <c r="L32" s="30">
        <v>46467</v>
      </c>
      <c r="M32" s="20">
        <f t="shared" si="0"/>
        <v>42</v>
      </c>
      <c r="N32" s="27" t="s">
        <v>288</v>
      </c>
      <c r="O32" s="31">
        <v>0</v>
      </c>
      <c r="P32" s="27" t="s">
        <v>343</v>
      </c>
      <c r="Q32" s="27" t="s">
        <v>295</v>
      </c>
      <c r="R32" s="27" t="s">
        <v>336</v>
      </c>
      <c r="S32" s="27"/>
      <c r="T32" s="20">
        <f t="shared" ca="1" si="1"/>
        <v>0</v>
      </c>
      <c r="U32" s="20" t="str">
        <f t="shared" ca="1" si="2"/>
        <v>Green</v>
      </c>
      <c r="V32" s="30"/>
      <c r="W32" s="27"/>
    </row>
    <row r="33" spans="1:23" ht="15" customHeight="1" x14ac:dyDescent="0.2">
      <c r="A33" s="20" t="s">
        <v>349</v>
      </c>
      <c r="B33" s="27" t="s">
        <v>72</v>
      </c>
      <c r="C33" s="27" t="s">
        <v>87</v>
      </c>
      <c r="D33" s="27" t="s">
        <v>217</v>
      </c>
      <c r="E33" s="27" t="s">
        <v>350</v>
      </c>
      <c r="F33" s="27" t="s">
        <v>351</v>
      </c>
      <c r="G33" s="27" t="s">
        <v>152</v>
      </c>
      <c r="H33" s="27" t="s">
        <v>152</v>
      </c>
      <c r="I33" s="27" t="s">
        <v>160</v>
      </c>
      <c r="J33" s="27" t="s">
        <v>134</v>
      </c>
      <c r="K33" s="30">
        <v>46398</v>
      </c>
      <c r="L33" s="30">
        <v>46453</v>
      </c>
      <c r="M33" s="20">
        <f t="shared" si="0"/>
        <v>56</v>
      </c>
      <c r="N33" s="27" t="s">
        <v>288</v>
      </c>
      <c r="O33" s="31">
        <v>0</v>
      </c>
      <c r="P33" s="27" t="s">
        <v>311</v>
      </c>
      <c r="Q33" s="27" t="s">
        <v>295</v>
      </c>
      <c r="R33" s="27" t="s">
        <v>336</v>
      </c>
      <c r="S33" s="27"/>
      <c r="T33" s="20">
        <f t="shared" ca="1" si="1"/>
        <v>0</v>
      </c>
      <c r="U33" s="20" t="str">
        <f t="shared" ca="1" si="2"/>
        <v>Green</v>
      </c>
      <c r="V33" s="30"/>
      <c r="W33" s="27"/>
    </row>
    <row r="34" spans="1:23" ht="15" customHeight="1" x14ac:dyDescent="0.2">
      <c r="A34" s="20" t="s">
        <v>352</v>
      </c>
      <c r="B34" s="27" t="s">
        <v>72</v>
      </c>
      <c r="C34" s="27" t="s">
        <v>87</v>
      </c>
      <c r="D34" s="27" t="s">
        <v>217</v>
      </c>
      <c r="E34" s="27" t="s">
        <v>353</v>
      </c>
      <c r="F34" s="27" t="s">
        <v>354</v>
      </c>
      <c r="G34" s="27" t="s">
        <v>152</v>
      </c>
      <c r="H34" s="27" t="s">
        <v>148</v>
      </c>
      <c r="I34" s="27" t="s">
        <v>139</v>
      </c>
      <c r="J34" s="27" t="s">
        <v>156</v>
      </c>
      <c r="K34" s="30">
        <v>46454</v>
      </c>
      <c r="L34" s="30">
        <v>46467</v>
      </c>
      <c r="M34" s="20">
        <f t="shared" si="0"/>
        <v>14</v>
      </c>
      <c r="N34" s="27" t="s">
        <v>288</v>
      </c>
      <c r="O34" s="31">
        <v>0</v>
      </c>
      <c r="P34" s="27" t="s">
        <v>355</v>
      </c>
      <c r="Q34" s="27" t="s">
        <v>295</v>
      </c>
      <c r="R34" s="27" t="s">
        <v>336</v>
      </c>
      <c r="S34" s="27"/>
      <c r="T34" s="20">
        <f t="shared" ca="1" si="1"/>
        <v>0</v>
      </c>
      <c r="U34" s="20" t="str">
        <f t="shared" ca="1" si="2"/>
        <v>Green</v>
      </c>
      <c r="V34" s="30"/>
      <c r="W34" s="27"/>
    </row>
    <row r="35" spans="1:23" ht="15" customHeight="1" x14ac:dyDescent="0.2">
      <c r="A35" s="20" t="s">
        <v>356</v>
      </c>
      <c r="B35" s="27" t="s">
        <v>72</v>
      </c>
      <c r="C35" s="27" t="s">
        <v>81</v>
      </c>
      <c r="D35" s="27" t="s">
        <v>220</v>
      </c>
      <c r="E35" s="27" t="s">
        <v>357</v>
      </c>
      <c r="F35" s="27" t="s">
        <v>358</v>
      </c>
      <c r="G35" s="27" t="s">
        <v>174</v>
      </c>
      <c r="H35" s="27" t="s">
        <v>143</v>
      </c>
      <c r="I35" s="27" t="s">
        <v>169</v>
      </c>
      <c r="J35" s="27" t="s">
        <v>121</v>
      </c>
      <c r="K35" s="30">
        <v>46384</v>
      </c>
      <c r="L35" s="30">
        <v>46467</v>
      </c>
      <c r="M35" s="20">
        <f t="shared" si="0"/>
        <v>84</v>
      </c>
      <c r="N35" s="27" t="s">
        <v>288</v>
      </c>
      <c r="O35" s="31">
        <v>0</v>
      </c>
      <c r="P35" s="27" t="s">
        <v>326</v>
      </c>
      <c r="Q35" s="27" t="s">
        <v>295</v>
      </c>
      <c r="R35" s="27" t="s">
        <v>336</v>
      </c>
      <c r="S35" s="27"/>
      <c r="T35" s="20">
        <f t="shared" ca="1" si="1"/>
        <v>0</v>
      </c>
      <c r="U35" s="20" t="str">
        <f t="shared" ca="1" si="2"/>
        <v>Green</v>
      </c>
      <c r="V35" s="30"/>
      <c r="W35" s="27"/>
    </row>
    <row r="36" spans="1:23" ht="15" customHeight="1" x14ac:dyDescent="0.2">
      <c r="A36" s="20" t="s">
        <v>359</v>
      </c>
      <c r="B36" s="27" t="s">
        <v>72</v>
      </c>
      <c r="C36" s="27" t="s">
        <v>81</v>
      </c>
      <c r="D36" s="27" t="s">
        <v>220</v>
      </c>
      <c r="E36" s="27" t="s">
        <v>360</v>
      </c>
      <c r="F36" s="27" t="s">
        <v>361</v>
      </c>
      <c r="G36" s="27" t="s">
        <v>174</v>
      </c>
      <c r="H36" s="27" t="s">
        <v>143</v>
      </c>
      <c r="I36" s="27" t="s">
        <v>139</v>
      </c>
      <c r="J36" s="27" t="s">
        <v>156</v>
      </c>
      <c r="K36" s="30">
        <v>46398</v>
      </c>
      <c r="L36" s="30">
        <v>46467</v>
      </c>
      <c r="M36" s="20">
        <f t="shared" si="0"/>
        <v>70</v>
      </c>
      <c r="N36" s="27" t="s">
        <v>288</v>
      </c>
      <c r="O36" s="31">
        <v>0</v>
      </c>
      <c r="P36" s="27" t="s">
        <v>305</v>
      </c>
      <c r="Q36" s="27" t="s">
        <v>295</v>
      </c>
      <c r="R36" s="27" t="s">
        <v>336</v>
      </c>
      <c r="S36" s="27"/>
      <c r="T36" s="20">
        <f t="shared" ca="1" si="1"/>
        <v>0</v>
      </c>
      <c r="U36" s="20" t="str">
        <f t="shared" ca="1" si="2"/>
        <v>Green</v>
      </c>
      <c r="V36" s="30"/>
      <c r="W36" s="27"/>
    </row>
    <row r="37" spans="1:23" ht="15" customHeight="1" x14ac:dyDescent="0.2">
      <c r="A37" s="20" t="s">
        <v>362</v>
      </c>
      <c r="B37" s="27" t="s">
        <v>72</v>
      </c>
      <c r="C37" s="27" t="s">
        <v>91</v>
      </c>
      <c r="D37" s="27" t="s">
        <v>226</v>
      </c>
      <c r="E37" s="27" t="s">
        <v>363</v>
      </c>
      <c r="F37" s="27" t="s">
        <v>364</v>
      </c>
      <c r="G37" s="27" t="s">
        <v>129</v>
      </c>
      <c r="H37" s="27" t="s">
        <v>129</v>
      </c>
      <c r="I37" s="27" t="s">
        <v>179</v>
      </c>
      <c r="J37" s="27" t="s">
        <v>143</v>
      </c>
      <c r="K37" s="30">
        <v>46384</v>
      </c>
      <c r="L37" s="30">
        <v>46481</v>
      </c>
      <c r="M37" s="20">
        <f t="shared" ref="M37:M68" si="3">IF(OR(K37="",L37=""),"",L37-K37+1)</f>
        <v>98</v>
      </c>
      <c r="N37" s="27" t="s">
        <v>288</v>
      </c>
      <c r="O37" s="31">
        <v>0</v>
      </c>
      <c r="P37" s="27" t="s">
        <v>292</v>
      </c>
      <c r="Q37" s="27" t="s">
        <v>295</v>
      </c>
      <c r="R37" s="27" t="s">
        <v>336</v>
      </c>
      <c r="S37" s="27"/>
      <c r="T37" s="20">
        <f t="shared" ref="T37:T68" ca="1" si="4">IF(OR(N37="Complete",N37="Deferred",L37=""),0,MAX(0,TODAY()-L37))</f>
        <v>0</v>
      </c>
      <c r="U37" s="20" t="str">
        <f t="shared" ref="U37:U68" ca="1" si="5">IF(N37="Complete","Done",IF(OR(N37="Blocked",T37&gt;5),"Red",IF(OR(N37="At Risk",T37&gt;0,AND(N37="Not Started",K37&lt;TODAY())),"Amber","Green")))</f>
        <v>Green</v>
      </c>
      <c r="V37" s="30"/>
      <c r="W37" s="27"/>
    </row>
    <row r="38" spans="1:23" ht="15" customHeight="1" x14ac:dyDescent="0.2">
      <c r="A38" s="20" t="s">
        <v>365</v>
      </c>
      <c r="B38" s="27" t="s">
        <v>72</v>
      </c>
      <c r="C38" s="27" t="s">
        <v>86</v>
      </c>
      <c r="D38" s="27" t="s">
        <v>217</v>
      </c>
      <c r="E38" s="27" t="s">
        <v>366</v>
      </c>
      <c r="F38" s="27" t="s">
        <v>367</v>
      </c>
      <c r="G38" s="27" t="s">
        <v>193</v>
      </c>
      <c r="H38" s="27" t="s">
        <v>193</v>
      </c>
      <c r="I38" s="27" t="s">
        <v>129</v>
      </c>
      <c r="J38" s="27" t="s">
        <v>139</v>
      </c>
      <c r="K38" s="30">
        <v>46454</v>
      </c>
      <c r="L38" s="30">
        <v>46481</v>
      </c>
      <c r="M38" s="20">
        <f t="shared" si="3"/>
        <v>28</v>
      </c>
      <c r="N38" s="27" t="s">
        <v>288</v>
      </c>
      <c r="O38" s="31">
        <v>0</v>
      </c>
      <c r="P38" s="27" t="s">
        <v>368</v>
      </c>
      <c r="Q38" s="27" t="s">
        <v>295</v>
      </c>
      <c r="R38" s="27" t="s">
        <v>336</v>
      </c>
      <c r="S38" s="27"/>
      <c r="T38" s="20">
        <f t="shared" ca="1" si="4"/>
        <v>0</v>
      </c>
      <c r="U38" s="20" t="str">
        <f t="shared" ca="1" si="5"/>
        <v>Green</v>
      </c>
      <c r="V38" s="30"/>
      <c r="W38" s="27"/>
    </row>
    <row r="39" spans="1:23" ht="15" customHeight="1" x14ac:dyDescent="0.2">
      <c r="A39" s="20" t="s">
        <v>369</v>
      </c>
      <c r="B39" s="27" t="s">
        <v>72</v>
      </c>
      <c r="C39" s="27" t="s">
        <v>88</v>
      </c>
      <c r="D39" s="27" t="s">
        <v>223</v>
      </c>
      <c r="E39" s="27" t="s">
        <v>370</v>
      </c>
      <c r="F39" s="27" t="s">
        <v>371</v>
      </c>
      <c r="G39" s="27" t="s">
        <v>160</v>
      </c>
      <c r="H39" s="27" t="s">
        <v>160</v>
      </c>
      <c r="I39" s="27" t="s">
        <v>188</v>
      </c>
      <c r="J39" s="27" t="s">
        <v>134</v>
      </c>
      <c r="K39" s="30">
        <v>46412</v>
      </c>
      <c r="L39" s="30">
        <v>46467</v>
      </c>
      <c r="M39" s="20">
        <f t="shared" si="3"/>
        <v>56</v>
      </c>
      <c r="N39" s="27" t="s">
        <v>288</v>
      </c>
      <c r="O39" s="31">
        <v>0</v>
      </c>
      <c r="P39" s="27" t="s">
        <v>296</v>
      </c>
      <c r="Q39" s="27" t="s">
        <v>295</v>
      </c>
      <c r="R39" s="27" t="s">
        <v>336</v>
      </c>
      <c r="S39" s="27"/>
      <c r="T39" s="20">
        <f t="shared" ca="1" si="4"/>
        <v>0</v>
      </c>
      <c r="U39" s="20" t="str">
        <f t="shared" ca="1" si="5"/>
        <v>Green</v>
      </c>
      <c r="V39" s="30"/>
      <c r="W39" s="27"/>
    </row>
    <row r="40" spans="1:23" ht="15" customHeight="1" x14ac:dyDescent="0.2">
      <c r="A40" s="20" t="s">
        <v>372</v>
      </c>
      <c r="B40" s="27" t="s">
        <v>72</v>
      </c>
      <c r="C40" s="27" t="s">
        <v>88</v>
      </c>
      <c r="D40" s="27" t="s">
        <v>223</v>
      </c>
      <c r="E40" s="27" t="s">
        <v>373</v>
      </c>
      <c r="F40" s="27" t="s">
        <v>374</v>
      </c>
      <c r="G40" s="27" t="s">
        <v>160</v>
      </c>
      <c r="H40" s="27" t="s">
        <v>160</v>
      </c>
      <c r="I40" s="27" t="s">
        <v>188</v>
      </c>
      <c r="J40" s="27" t="s">
        <v>184</v>
      </c>
      <c r="K40" s="30">
        <v>46412</v>
      </c>
      <c r="L40" s="30">
        <v>46439</v>
      </c>
      <c r="M40" s="20">
        <f t="shared" si="3"/>
        <v>28</v>
      </c>
      <c r="N40" s="27" t="s">
        <v>288</v>
      </c>
      <c r="O40" s="31">
        <v>0</v>
      </c>
      <c r="P40" s="27" t="s">
        <v>296</v>
      </c>
      <c r="Q40" s="27" t="s">
        <v>295</v>
      </c>
      <c r="R40" s="27" t="s">
        <v>336</v>
      </c>
      <c r="S40" s="27"/>
      <c r="T40" s="20">
        <f t="shared" ca="1" si="4"/>
        <v>0</v>
      </c>
      <c r="U40" s="20" t="str">
        <f t="shared" ca="1" si="5"/>
        <v>Green</v>
      </c>
      <c r="V40" s="30"/>
      <c r="W40" s="27"/>
    </row>
    <row r="41" spans="1:23" ht="15" customHeight="1" x14ac:dyDescent="0.2">
      <c r="A41" s="20" t="s">
        <v>375</v>
      </c>
      <c r="B41" s="27" t="s">
        <v>72</v>
      </c>
      <c r="C41" s="27" t="s">
        <v>94</v>
      </c>
      <c r="D41" s="27" t="s">
        <v>229</v>
      </c>
      <c r="E41" s="27" t="s">
        <v>376</v>
      </c>
      <c r="F41" s="27" t="s">
        <v>377</v>
      </c>
      <c r="G41" s="27" t="s">
        <v>165</v>
      </c>
      <c r="H41" s="27" t="s">
        <v>165</v>
      </c>
      <c r="I41" s="27" t="s">
        <v>148</v>
      </c>
      <c r="J41" s="27" t="s">
        <v>169</v>
      </c>
      <c r="K41" s="30">
        <v>46426</v>
      </c>
      <c r="L41" s="30">
        <v>46467</v>
      </c>
      <c r="M41" s="20">
        <f t="shared" si="3"/>
        <v>42</v>
      </c>
      <c r="N41" s="27" t="s">
        <v>288</v>
      </c>
      <c r="O41" s="31">
        <v>0</v>
      </c>
      <c r="P41" s="27" t="s">
        <v>320</v>
      </c>
      <c r="Q41" s="27" t="s">
        <v>295</v>
      </c>
      <c r="R41" s="27" t="s">
        <v>336</v>
      </c>
      <c r="S41" s="27"/>
      <c r="T41" s="20">
        <f t="shared" ca="1" si="4"/>
        <v>0</v>
      </c>
      <c r="U41" s="20" t="str">
        <f t="shared" ca="1" si="5"/>
        <v>Green</v>
      </c>
      <c r="V41" s="30"/>
      <c r="W41" s="27"/>
    </row>
    <row r="42" spans="1:23" ht="15" customHeight="1" x14ac:dyDescent="0.2">
      <c r="A42" s="20" t="s">
        <v>378</v>
      </c>
      <c r="B42" s="27" t="s">
        <v>72</v>
      </c>
      <c r="C42" s="27" t="s">
        <v>84</v>
      </c>
      <c r="D42" s="27" t="s">
        <v>232</v>
      </c>
      <c r="E42" s="27" t="s">
        <v>379</v>
      </c>
      <c r="F42" s="27" t="s">
        <v>380</v>
      </c>
      <c r="G42" s="27" t="s">
        <v>184</v>
      </c>
      <c r="H42" s="27" t="s">
        <v>184</v>
      </c>
      <c r="I42" s="27" t="s">
        <v>121</v>
      </c>
      <c r="J42" s="27" t="s">
        <v>114</v>
      </c>
      <c r="K42" s="30">
        <v>46384</v>
      </c>
      <c r="L42" s="30">
        <v>46481</v>
      </c>
      <c r="M42" s="20">
        <f t="shared" si="3"/>
        <v>98</v>
      </c>
      <c r="N42" s="27" t="s">
        <v>288</v>
      </c>
      <c r="O42" s="31">
        <v>0</v>
      </c>
      <c r="P42" s="27" t="s">
        <v>266</v>
      </c>
      <c r="Q42" s="27" t="s">
        <v>280</v>
      </c>
      <c r="R42" s="27" t="s">
        <v>336</v>
      </c>
      <c r="S42" s="27"/>
      <c r="T42" s="20">
        <f t="shared" ca="1" si="4"/>
        <v>0</v>
      </c>
      <c r="U42" s="20" t="str">
        <f t="shared" ca="1" si="5"/>
        <v>Green</v>
      </c>
      <c r="V42" s="30"/>
      <c r="W42" s="27"/>
    </row>
    <row r="43" spans="1:23" ht="23.75" customHeight="1" x14ac:dyDescent="0.2">
      <c r="A43" s="20" t="s">
        <v>381</v>
      </c>
      <c r="B43" s="27" t="s">
        <v>72</v>
      </c>
      <c r="C43" s="27" t="s">
        <v>89</v>
      </c>
      <c r="D43" s="27" t="s">
        <v>214</v>
      </c>
      <c r="E43" s="27" t="s">
        <v>382</v>
      </c>
      <c r="F43" s="27" t="s">
        <v>383</v>
      </c>
      <c r="G43" s="27" t="s">
        <v>125</v>
      </c>
      <c r="H43" s="27" t="s">
        <v>121</v>
      </c>
      <c r="I43" s="27" t="s">
        <v>134</v>
      </c>
      <c r="J43" s="27" t="s">
        <v>114</v>
      </c>
      <c r="K43" s="30">
        <v>46384</v>
      </c>
      <c r="L43" s="30">
        <v>46481</v>
      </c>
      <c r="M43" s="20">
        <f t="shared" si="3"/>
        <v>98</v>
      </c>
      <c r="N43" s="27" t="s">
        <v>288</v>
      </c>
      <c r="O43" s="31">
        <v>0</v>
      </c>
      <c r="P43" s="27" t="s">
        <v>276</v>
      </c>
      <c r="Q43" s="27" t="s">
        <v>280</v>
      </c>
      <c r="R43" s="27"/>
      <c r="S43" s="27"/>
      <c r="T43" s="20">
        <f t="shared" ca="1" si="4"/>
        <v>0</v>
      </c>
      <c r="U43" s="20" t="str">
        <f t="shared" ca="1" si="5"/>
        <v>Green</v>
      </c>
      <c r="V43" s="30"/>
      <c r="W43" s="27"/>
    </row>
    <row r="44" spans="1:23" ht="23.75" customHeight="1" x14ac:dyDescent="0.2">
      <c r="A44" s="20" t="s">
        <v>384</v>
      </c>
      <c r="B44" s="27" t="s">
        <v>72</v>
      </c>
      <c r="C44" s="27" t="s">
        <v>89</v>
      </c>
      <c r="D44" s="27" t="s">
        <v>214</v>
      </c>
      <c r="E44" s="27" t="s">
        <v>385</v>
      </c>
      <c r="F44" s="27" t="s">
        <v>386</v>
      </c>
      <c r="G44" s="27" t="s">
        <v>121</v>
      </c>
      <c r="H44" s="27" t="s">
        <v>114</v>
      </c>
      <c r="I44" s="27" t="s">
        <v>139</v>
      </c>
      <c r="J44" s="27" t="s">
        <v>143</v>
      </c>
      <c r="K44" s="30">
        <v>46475</v>
      </c>
      <c r="L44" s="30">
        <v>46481</v>
      </c>
      <c r="M44" s="20">
        <f t="shared" si="3"/>
        <v>7</v>
      </c>
      <c r="N44" s="27" t="s">
        <v>288</v>
      </c>
      <c r="O44" s="31">
        <v>0</v>
      </c>
      <c r="P44" s="27" t="s">
        <v>387</v>
      </c>
      <c r="Q44" s="27" t="s">
        <v>280</v>
      </c>
      <c r="R44" s="27" t="s">
        <v>336</v>
      </c>
      <c r="S44" s="27"/>
      <c r="T44" s="20">
        <f t="shared" ca="1" si="4"/>
        <v>0</v>
      </c>
      <c r="U44" s="20" t="str">
        <f t="shared" ca="1" si="5"/>
        <v>Green</v>
      </c>
      <c r="V44" s="30"/>
      <c r="W44" s="27"/>
    </row>
    <row r="45" spans="1:23" ht="15" customHeight="1" x14ac:dyDescent="0.2">
      <c r="A45" s="20" t="s">
        <v>388</v>
      </c>
      <c r="B45" s="27" t="s">
        <v>73</v>
      </c>
      <c r="C45" s="27" t="s">
        <v>91</v>
      </c>
      <c r="D45" s="27" t="s">
        <v>226</v>
      </c>
      <c r="E45" s="27" t="s">
        <v>389</v>
      </c>
      <c r="F45" s="27" t="s">
        <v>390</v>
      </c>
      <c r="G45" s="27" t="s">
        <v>129</v>
      </c>
      <c r="H45" s="27" t="s">
        <v>129</v>
      </c>
      <c r="I45" s="27" t="s">
        <v>179</v>
      </c>
      <c r="J45" s="27" t="s">
        <v>160</v>
      </c>
      <c r="K45" s="30">
        <v>46468</v>
      </c>
      <c r="L45" s="30">
        <v>46502</v>
      </c>
      <c r="M45" s="20">
        <f t="shared" si="3"/>
        <v>35</v>
      </c>
      <c r="N45" s="27" t="s">
        <v>288</v>
      </c>
      <c r="O45" s="31">
        <v>0</v>
      </c>
      <c r="P45" s="27" t="s">
        <v>362</v>
      </c>
      <c r="Q45" s="27" t="s">
        <v>295</v>
      </c>
      <c r="R45" s="27" t="s">
        <v>391</v>
      </c>
      <c r="S45" s="27"/>
      <c r="T45" s="20">
        <f t="shared" ca="1" si="4"/>
        <v>0</v>
      </c>
      <c r="U45" s="20" t="str">
        <f t="shared" ca="1" si="5"/>
        <v>Green</v>
      </c>
      <c r="V45" s="30"/>
      <c r="W45" s="27"/>
    </row>
    <row r="46" spans="1:23" ht="15" customHeight="1" x14ac:dyDescent="0.2">
      <c r="A46" s="20" t="s">
        <v>392</v>
      </c>
      <c r="B46" s="27" t="s">
        <v>73</v>
      </c>
      <c r="C46" s="27" t="s">
        <v>81</v>
      </c>
      <c r="D46" s="27" t="s">
        <v>220</v>
      </c>
      <c r="E46" s="27" t="s">
        <v>393</v>
      </c>
      <c r="F46" s="27" t="s">
        <v>394</v>
      </c>
      <c r="G46" s="27" t="s">
        <v>174</v>
      </c>
      <c r="H46" s="27" t="s">
        <v>143</v>
      </c>
      <c r="I46" s="27" t="s">
        <v>129</v>
      </c>
      <c r="J46" s="27" t="s">
        <v>179</v>
      </c>
      <c r="K46" s="30">
        <v>46482</v>
      </c>
      <c r="L46" s="30">
        <v>46523</v>
      </c>
      <c r="M46" s="20">
        <f t="shared" si="3"/>
        <v>42</v>
      </c>
      <c r="N46" s="27" t="s">
        <v>288</v>
      </c>
      <c r="O46" s="31">
        <v>0</v>
      </c>
      <c r="P46" s="27" t="s">
        <v>395</v>
      </c>
      <c r="Q46" s="27" t="s">
        <v>295</v>
      </c>
      <c r="R46" s="27" t="s">
        <v>391</v>
      </c>
      <c r="S46" s="27"/>
      <c r="T46" s="20">
        <f t="shared" ca="1" si="4"/>
        <v>0</v>
      </c>
      <c r="U46" s="20" t="str">
        <f t="shared" ca="1" si="5"/>
        <v>Green</v>
      </c>
      <c r="V46" s="30"/>
      <c r="W46" s="27"/>
    </row>
    <row r="47" spans="1:23" ht="15" customHeight="1" x14ac:dyDescent="0.2">
      <c r="A47" s="20" t="s">
        <v>396</v>
      </c>
      <c r="B47" s="27" t="s">
        <v>73</v>
      </c>
      <c r="C47" s="27" t="s">
        <v>81</v>
      </c>
      <c r="D47" s="27" t="s">
        <v>220</v>
      </c>
      <c r="E47" s="27" t="s">
        <v>397</v>
      </c>
      <c r="F47" s="27" t="s">
        <v>398</v>
      </c>
      <c r="G47" s="27" t="s">
        <v>174</v>
      </c>
      <c r="H47" s="27" t="s">
        <v>143</v>
      </c>
      <c r="I47" s="27" t="s">
        <v>139</v>
      </c>
      <c r="J47" s="27" t="s">
        <v>156</v>
      </c>
      <c r="K47" s="30">
        <v>46517</v>
      </c>
      <c r="L47" s="30">
        <v>46537</v>
      </c>
      <c r="M47" s="20">
        <f t="shared" si="3"/>
        <v>21</v>
      </c>
      <c r="N47" s="27" t="s">
        <v>288</v>
      </c>
      <c r="O47" s="31">
        <v>0</v>
      </c>
      <c r="P47" s="27" t="s">
        <v>399</v>
      </c>
      <c r="Q47" s="27" t="s">
        <v>295</v>
      </c>
      <c r="R47" s="27" t="s">
        <v>391</v>
      </c>
      <c r="S47" s="27"/>
      <c r="T47" s="20">
        <f t="shared" ca="1" si="4"/>
        <v>0</v>
      </c>
      <c r="U47" s="20" t="str">
        <f t="shared" ca="1" si="5"/>
        <v>Green</v>
      </c>
      <c r="V47" s="30"/>
      <c r="W47" s="27"/>
    </row>
    <row r="48" spans="1:23" ht="15" customHeight="1" x14ac:dyDescent="0.2">
      <c r="A48" s="20" t="s">
        <v>400</v>
      </c>
      <c r="B48" s="27" t="s">
        <v>73</v>
      </c>
      <c r="C48" s="27" t="s">
        <v>90</v>
      </c>
      <c r="D48" s="27" t="s">
        <v>226</v>
      </c>
      <c r="E48" s="27" t="s">
        <v>401</v>
      </c>
      <c r="F48" s="27" t="s">
        <v>402</v>
      </c>
      <c r="G48" s="27" t="s">
        <v>179</v>
      </c>
      <c r="H48" s="27" t="s">
        <v>179</v>
      </c>
      <c r="I48" s="27" t="s">
        <v>129</v>
      </c>
      <c r="J48" s="27" t="s">
        <v>121</v>
      </c>
      <c r="K48" s="30">
        <v>46510</v>
      </c>
      <c r="L48" s="30">
        <v>46530</v>
      </c>
      <c r="M48" s="20">
        <f t="shared" si="3"/>
        <v>21</v>
      </c>
      <c r="N48" s="27" t="s">
        <v>288</v>
      </c>
      <c r="O48" s="31">
        <v>0</v>
      </c>
      <c r="P48" s="27" t="s">
        <v>403</v>
      </c>
      <c r="Q48" s="27" t="s">
        <v>295</v>
      </c>
      <c r="R48" s="27" t="s">
        <v>391</v>
      </c>
      <c r="S48" s="27"/>
      <c r="T48" s="20">
        <f t="shared" ca="1" si="4"/>
        <v>0</v>
      </c>
      <c r="U48" s="20" t="str">
        <f t="shared" ca="1" si="5"/>
        <v>Green</v>
      </c>
      <c r="V48" s="30"/>
      <c r="W48" s="27"/>
    </row>
    <row r="49" spans="1:23" ht="15" customHeight="1" x14ac:dyDescent="0.2">
      <c r="A49" s="20" t="s">
        <v>404</v>
      </c>
      <c r="B49" s="27" t="s">
        <v>73</v>
      </c>
      <c r="C49" s="27" t="s">
        <v>90</v>
      </c>
      <c r="D49" s="27" t="s">
        <v>226</v>
      </c>
      <c r="E49" s="27" t="s">
        <v>405</v>
      </c>
      <c r="F49" s="27" t="s">
        <v>406</v>
      </c>
      <c r="G49" s="27" t="s">
        <v>129</v>
      </c>
      <c r="H49" s="27" t="s">
        <v>179</v>
      </c>
      <c r="I49" s="27" t="s">
        <v>121</v>
      </c>
      <c r="J49" s="27" t="s">
        <v>114</v>
      </c>
      <c r="K49" s="30">
        <v>46524</v>
      </c>
      <c r="L49" s="30">
        <v>46537</v>
      </c>
      <c r="M49" s="20">
        <f t="shared" si="3"/>
        <v>14</v>
      </c>
      <c r="N49" s="27" t="s">
        <v>288</v>
      </c>
      <c r="O49" s="31">
        <v>0</v>
      </c>
      <c r="P49" s="27" t="s">
        <v>400</v>
      </c>
      <c r="Q49" s="27" t="s">
        <v>295</v>
      </c>
      <c r="R49" s="27" t="s">
        <v>391</v>
      </c>
      <c r="S49" s="27"/>
      <c r="T49" s="20">
        <f t="shared" ca="1" si="4"/>
        <v>0</v>
      </c>
      <c r="U49" s="20" t="str">
        <f t="shared" ca="1" si="5"/>
        <v>Green</v>
      </c>
      <c r="V49" s="30"/>
      <c r="W49" s="27"/>
    </row>
    <row r="50" spans="1:23" ht="15" customHeight="1" x14ac:dyDescent="0.2">
      <c r="A50" s="20" t="s">
        <v>407</v>
      </c>
      <c r="B50" s="27" t="s">
        <v>73</v>
      </c>
      <c r="C50" s="27" t="s">
        <v>88</v>
      </c>
      <c r="D50" s="27" t="s">
        <v>223</v>
      </c>
      <c r="E50" s="27" t="s">
        <v>408</v>
      </c>
      <c r="F50" s="27" t="s">
        <v>409</v>
      </c>
      <c r="G50" s="27" t="s">
        <v>160</v>
      </c>
      <c r="H50" s="27" t="s">
        <v>160</v>
      </c>
      <c r="I50" s="27" t="s">
        <v>188</v>
      </c>
      <c r="J50" s="27" t="s">
        <v>121</v>
      </c>
      <c r="K50" s="30">
        <v>46468</v>
      </c>
      <c r="L50" s="30">
        <v>46509</v>
      </c>
      <c r="M50" s="20">
        <f t="shared" si="3"/>
        <v>42</v>
      </c>
      <c r="N50" s="27" t="s">
        <v>288</v>
      </c>
      <c r="O50" s="31">
        <v>0</v>
      </c>
      <c r="P50" s="27" t="s">
        <v>372</v>
      </c>
      <c r="Q50" s="27" t="s">
        <v>295</v>
      </c>
      <c r="R50" s="27" t="s">
        <v>391</v>
      </c>
      <c r="S50" s="27"/>
      <c r="T50" s="20">
        <f t="shared" ca="1" si="4"/>
        <v>0</v>
      </c>
      <c r="U50" s="20" t="str">
        <f t="shared" ca="1" si="5"/>
        <v>Green</v>
      </c>
      <c r="V50" s="30"/>
      <c r="W50" s="27"/>
    </row>
    <row r="51" spans="1:23" ht="15" customHeight="1" x14ac:dyDescent="0.2">
      <c r="A51" s="20" t="s">
        <v>410</v>
      </c>
      <c r="B51" s="27" t="s">
        <v>73</v>
      </c>
      <c r="C51" s="27" t="s">
        <v>86</v>
      </c>
      <c r="D51" s="27" t="s">
        <v>217</v>
      </c>
      <c r="E51" s="27" t="s">
        <v>411</v>
      </c>
      <c r="F51" s="27" t="s">
        <v>412</v>
      </c>
      <c r="G51" s="27" t="s">
        <v>193</v>
      </c>
      <c r="H51" s="27" t="s">
        <v>193</v>
      </c>
      <c r="I51" s="27" t="s">
        <v>139</v>
      </c>
      <c r="J51" s="27" t="s">
        <v>160</v>
      </c>
      <c r="K51" s="30">
        <v>46496</v>
      </c>
      <c r="L51" s="30">
        <v>46509</v>
      </c>
      <c r="M51" s="20">
        <f t="shared" si="3"/>
        <v>14</v>
      </c>
      <c r="N51" s="27" t="s">
        <v>288</v>
      </c>
      <c r="O51" s="31">
        <v>0</v>
      </c>
      <c r="P51" s="27" t="s">
        <v>365</v>
      </c>
      <c r="Q51" s="27" t="s">
        <v>295</v>
      </c>
      <c r="R51" s="27" t="s">
        <v>391</v>
      </c>
      <c r="S51" s="27"/>
      <c r="T51" s="20">
        <f t="shared" ca="1" si="4"/>
        <v>0</v>
      </c>
      <c r="U51" s="20" t="str">
        <f t="shared" ca="1" si="5"/>
        <v>Green</v>
      </c>
      <c r="V51" s="30"/>
      <c r="W51" s="27"/>
    </row>
    <row r="52" spans="1:23" ht="15" customHeight="1" x14ac:dyDescent="0.2">
      <c r="A52" s="20" t="s">
        <v>413</v>
      </c>
      <c r="B52" s="27" t="s">
        <v>73</v>
      </c>
      <c r="C52" s="27" t="s">
        <v>94</v>
      </c>
      <c r="D52" s="27" t="s">
        <v>229</v>
      </c>
      <c r="E52" s="27" t="s">
        <v>414</v>
      </c>
      <c r="F52" s="27" t="s">
        <v>415</v>
      </c>
      <c r="G52" s="27" t="s">
        <v>165</v>
      </c>
      <c r="H52" s="27" t="s">
        <v>165</v>
      </c>
      <c r="I52" s="27" t="s">
        <v>160</v>
      </c>
      <c r="J52" s="27" t="s">
        <v>129</v>
      </c>
      <c r="K52" s="30">
        <v>46510</v>
      </c>
      <c r="L52" s="30">
        <v>46530</v>
      </c>
      <c r="M52" s="20">
        <f t="shared" si="3"/>
        <v>21</v>
      </c>
      <c r="N52" s="27" t="s">
        <v>288</v>
      </c>
      <c r="O52" s="31">
        <v>0</v>
      </c>
      <c r="P52" s="27" t="s">
        <v>416</v>
      </c>
      <c r="Q52" s="27" t="s">
        <v>295</v>
      </c>
      <c r="R52" s="27" t="s">
        <v>391</v>
      </c>
      <c r="S52" s="27"/>
      <c r="T52" s="20">
        <f t="shared" ca="1" si="4"/>
        <v>0</v>
      </c>
      <c r="U52" s="20" t="str">
        <f t="shared" ca="1" si="5"/>
        <v>Green</v>
      </c>
      <c r="V52" s="30"/>
      <c r="W52" s="27"/>
    </row>
    <row r="53" spans="1:23" ht="23.75" customHeight="1" x14ac:dyDescent="0.2">
      <c r="A53" s="20" t="s">
        <v>417</v>
      </c>
      <c r="B53" s="27" t="s">
        <v>73</v>
      </c>
      <c r="C53" s="27" t="s">
        <v>89</v>
      </c>
      <c r="D53" s="27" t="s">
        <v>226</v>
      </c>
      <c r="E53" s="27" t="s">
        <v>418</v>
      </c>
      <c r="F53" s="27" t="s">
        <v>419</v>
      </c>
      <c r="G53" s="27" t="s">
        <v>121</v>
      </c>
      <c r="H53" s="27" t="s">
        <v>114</v>
      </c>
      <c r="I53" s="27" t="s">
        <v>129</v>
      </c>
      <c r="J53" s="27" t="s">
        <v>179</v>
      </c>
      <c r="K53" s="30">
        <v>46538</v>
      </c>
      <c r="L53" s="30">
        <v>46544</v>
      </c>
      <c r="M53" s="20">
        <f t="shared" si="3"/>
        <v>7</v>
      </c>
      <c r="N53" s="27" t="s">
        <v>288</v>
      </c>
      <c r="O53" s="31">
        <v>0</v>
      </c>
      <c r="P53" s="27" t="s">
        <v>420</v>
      </c>
      <c r="Q53" s="27" t="s">
        <v>280</v>
      </c>
      <c r="R53" s="27" t="s">
        <v>391</v>
      </c>
      <c r="S53" s="27"/>
      <c r="T53" s="20">
        <f t="shared" ca="1" si="4"/>
        <v>0</v>
      </c>
      <c r="U53" s="20" t="str">
        <f t="shared" ca="1" si="5"/>
        <v>Green</v>
      </c>
      <c r="V53" s="30"/>
      <c r="W53" s="27"/>
    </row>
    <row r="54" spans="1:23" ht="23.75" customHeight="1" x14ac:dyDescent="0.2">
      <c r="A54" s="20" t="s">
        <v>421</v>
      </c>
      <c r="B54" s="27" t="s">
        <v>74</v>
      </c>
      <c r="C54" s="27" t="s">
        <v>93</v>
      </c>
      <c r="D54" s="27" t="s">
        <v>217</v>
      </c>
      <c r="E54" s="27" t="s">
        <v>422</v>
      </c>
      <c r="F54" s="27" t="s">
        <v>423</v>
      </c>
      <c r="G54" s="27" t="s">
        <v>156</v>
      </c>
      <c r="H54" s="27" t="s">
        <v>156</v>
      </c>
      <c r="I54" s="27" t="s">
        <v>139</v>
      </c>
      <c r="J54" s="27" t="s">
        <v>134</v>
      </c>
      <c r="K54" s="30">
        <v>46482</v>
      </c>
      <c r="L54" s="30">
        <v>46523</v>
      </c>
      <c r="M54" s="20">
        <f t="shared" si="3"/>
        <v>42</v>
      </c>
      <c r="N54" s="27" t="s">
        <v>288</v>
      </c>
      <c r="O54" s="31">
        <v>0</v>
      </c>
      <c r="P54" s="27" t="s">
        <v>424</v>
      </c>
      <c r="Q54" s="27" t="s">
        <v>295</v>
      </c>
      <c r="R54" s="27" t="s">
        <v>425</v>
      </c>
      <c r="S54" s="27"/>
      <c r="T54" s="20">
        <f t="shared" ca="1" si="4"/>
        <v>0</v>
      </c>
      <c r="U54" s="20" t="str">
        <f t="shared" ca="1" si="5"/>
        <v>Green</v>
      </c>
      <c r="V54" s="30"/>
      <c r="W54" s="27"/>
    </row>
    <row r="55" spans="1:23" ht="15" customHeight="1" x14ac:dyDescent="0.2">
      <c r="A55" s="20" t="s">
        <v>426</v>
      </c>
      <c r="B55" s="27" t="s">
        <v>74</v>
      </c>
      <c r="C55" s="27" t="s">
        <v>93</v>
      </c>
      <c r="D55" s="27" t="s">
        <v>217</v>
      </c>
      <c r="E55" s="27" t="s">
        <v>427</v>
      </c>
      <c r="F55" s="27" t="s">
        <v>428</v>
      </c>
      <c r="G55" s="27" t="s">
        <v>156</v>
      </c>
      <c r="H55" s="27" t="s">
        <v>134</v>
      </c>
      <c r="I55" s="27" t="s">
        <v>139</v>
      </c>
      <c r="J55" s="27" t="s">
        <v>121</v>
      </c>
      <c r="K55" s="30">
        <v>46482</v>
      </c>
      <c r="L55" s="30">
        <v>46579</v>
      </c>
      <c r="M55" s="20">
        <f t="shared" si="3"/>
        <v>98</v>
      </c>
      <c r="N55" s="27" t="s">
        <v>288</v>
      </c>
      <c r="O55" s="31">
        <v>0</v>
      </c>
      <c r="P55" s="27" t="s">
        <v>421</v>
      </c>
      <c r="Q55" s="27" t="s">
        <v>295</v>
      </c>
      <c r="R55" s="27"/>
      <c r="S55" s="27"/>
      <c r="T55" s="20">
        <f t="shared" ca="1" si="4"/>
        <v>0</v>
      </c>
      <c r="U55" s="20" t="str">
        <f t="shared" ca="1" si="5"/>
        <v>Green</v>
      </c>
      <c r="V55" s="30"/>
      <c r="W55" s="27"/>
    </row>
    <row r="56" spans="1:23" ht="15" customHeight="1" x14ac:dyDescent="0.2">
      <c r="A56" s="20" t="s">
        <v>429</v>
      </c>
      <c r="B56" s="27" t="s">
        <v>74</v>
      </c>
      <c r="C56" s="27" t="s">
        <v>87</v>
      </c>
      <c r="D56" s="27" t="s">
        <v>217</v>
      </c>
      <c r="E56" s="27" t="s">
        <v>430</v>
      </c>
      <c r="F56" s="27" t="s">
        <v>431</v>
      </c>
      <c r="G56" s="27" t="s">
        <v>152</v>
      </c>
      <c r="H56" s="27" t="s">
        <v>148</v>
      </c>
      <c r="I56" s="27" t="s">
        <v>139</v>
      </c>
      <c r="J56" s="27" t="s">
        <v>156</v>
      </c>
      <c r="K56" s="30">
        <v>46524</v>
      </c>
      <c r="L56" s="30">
        <v>46537</v>
      </c>
      <c r="M56" s="20">
        <f t="shared" si="3"/>
        <v>14</v>
      </c>
      <c r="N56" s="27" t="s">
        <v>288</v>
      </c>
      <c r="O56" s="31">
        <v>0</v>
      </c>
      <c r="P56" s="27" t="s">
        <v>352</v>
      </c>
      <c r="Q56" s="27" t="s">
        <v>295</v>
      </c>
      <c r="R56" s="27" t="s">
        <v>425</v>
      </c>
      <c r="S56" s="27"/>
      <c r="T56" s="20">
        <f t="shared" ca="1" si="4"/>
        <v>0</v>
      </c>
      <c r="U56" s="20" t="str">
        <f t="shared" ca="1" si="5"/>
        <v>Green</v>
      </c>
      <c r="V56" s="30"/>
      <c r="W56" s="27"/>
    </row>
    <row r="57" spans="1:23" ht="15" customHeight="1" x14ac:dyDescent="0.2">
      <c r="A57" s="20" t="s">
        <v>432</v>
      </c>
      <c r="B57" s="27" t="s">
        <v>74</v>
      </c>
      <c r="C57" s="27" t="s">
        <v>93</v>
      </c>
      <c r="D57" s="27" t="s">
        <v>217</v>
      </c>
      <c r="E57" s="27" t="s">
        <v>433</v>
      </c>
      <c r="F57" s="27" t="s">
        <v>434</v>
      </c>
      <c r="G57" s="27" t="s">
        <v>156</v>
      </c>
      <c r="H57" s="27" t="s">
        <v>139</v>
      </c>
      <c r="I57" s="27" t="s">
        <v>148</v>
      </c>
      <c r="J57" s="27" t="s">
        <v>193</v>
      </c>
      <c r="K57" s="30">
        <v>46531</v>
      </c>
      <c r="L57" s="30">
        <v>46544</v>
      </c>
      <c r="M57" s="20">
        <f t="shared" si="3"/>
        <v>14</v>
      </c>
      <c r="N57" s="27" t="s">
        <v>288</v>
      </c>
      <c r="O57" s="31">
        <v>0</v>
      </c>
      <c r="P57" s="27" t="s">
        <v>435</v>
      </c>
      <c r="Q57" s="27" t="s">
        <v>295</v>
      </c>
      <c r="R57" s="27" t="s">
        <v>425</v>
      </c>
      <c r="S57" s="27"/>
      <c r="T57" s="20">
        <f t="shared" ca="1" si="4"/>
        <v>0</v>
      </c>
      <c r="U57" s="20" t="str">
        <f t="shared" ca="1" si="5"/>
        <v>Green</v>
      </c>
      <c r="V57" s="30"/>
      <c r="W57" s="27"/>
    </row>
    <row r="58" spans="1:23" ht="15" customHeight="1" x14ac:dyDescent="0.2">
      <c r="A58" s="20" t="s">
        <v>436</v>
      </c>
      <c r="B58" s="27" t="s">
        <v>74</v>
      </c>
      <c r="C58" s="27" t="s">
        <v>81</v>
      </c>
      <c r="D58" s="27" t="s">
        <v>220</v>
      </c>
      <c r="E58" s="27" t="s">
        <v>437</v>
      </c>
      <c r="F58" s="27" t="s">
        <v>438</v>
      </c>
      <c r="G58" s="27" t="s">
        <v>143</v>
      </c>
      <c r="H58" s="27" t="s">
        <v>143</v>
      </c>
      <c r="I58" s="27" t="s">
        <v>174</v>
      </c>
      <c r="J58" s="27" t="s">
        <v>160</v>
      </c>
      <c r="K58" s="30">
        <v>46538</v>
      </c>
      <c r="L58" s="30">
        <v>46558</v>
      </c>
      <c r="M58" s="20">
        <f t="shared" si="3"/>
        <v>21</v>
      </c>
      <c r="N58" s="27" t="s">
        <v>288</v>
      </c>
      <c r="O58" s="31">
        <v>0</v>
      </c>
      <c r="P58" s="27" t="s">
        <v>439</v>
      </c>
      <c r="Q58" s="27" t="s">
        <v>295</v>
      </c>
      <c r="R58" s="27" t="s">
        <v>425</v>
      </c>
      <c r="S58" s="27"/>
      <c r="T58" s="20">
        <f t="shared" ca="1" si="4"/>
        <v>0</v>
      </c>
      <c r="U58" s="20" t="str">
        <f t="shared" ca="1" si="5"/>
        <v>Green</v>
      </c>
      <c r="V58" s="30"/>
      <c r="W58" s="27"/>
    </row>
    <row r="59" spans="1:23" ht="15" customHeight="1" x14ac:dyDescent="0.2">
      <c r="A59" s="20" t="s">
        <v>440</v>
      </c>
      <c r="B59" s="27" t="s">
        <v>74</v>
      </c>
      <c r="C59" s="27" t="s">
        <v>93</v>
      </c>
      <c r="D59" s="27" t="s">
        <v>217</v>
      </c>
      <c r="E59" s="27" t="s">
        <v>441</v>
      </c>
      <c r="F59" s="27" t="s">
        <v>442</v>
      </c>
      <c r="G59" s="27" t="s">
        <v>160</v>
      </c>
      <c r="H59" s="27" t="s">
        <v>134</v>
      </c>
      <c r="I59" s="27" t="s">
        <v>156</v>
      </c>
      <c r="J59" s="27" t="s">
        <v>188</v>
      </c>
      <c r="K59" s="30">
        <v>46545</v>
      </c>
      <c r="L59" s="30">
        <v>46572</v>
      </c>
      <c r="M59" s="20">
        <f t="shared" si="3"/>
        <v>28</v>
      </c>
      <c r="N59" s="27" t="s">
        <v>288</v>
      </c>
      <c r="O59" s="31">
        <v>0</v>
      </c>
      <c r="P59" s="27" t="s">
        <v>443</v>
      </c>
      <c r="Q59" s="27" t="s">
        <v>295</v>
      </c>
      <c r="R59" s="27" t="s">
        <v>425</v>
      </c>
      <c r="S59" s="27"/>
      <c r="T59" s="20">
        <f t="shared" ca="1" si="4"/>
        <v>0</v>
      </c>
      <c r="U59" s="20" t="str">
        <f t="shared" ca="1" si="5"/>
        <v>Green</v>
      </c>
      <c r="V59" s="30"/>
      <c r="W59" s="27"/>
    </row>
    <row r="60" spans="1:23" ht="15" customHeight="1" x14ac:dyDescent="0.2">
      <c r="A60" s="20" t="s">
        <v>444</v>
      </c>
      <c r="B60" s="27" t="s">
        <v>74</v>
      </c>
      <c r="C60" s="27" t="s">
        <v>94</v>
      </c>
      <c r="D60" s="27" t="s">
        <v>229</v>
      </c>
      <c r="E60" s="27" t="s">
        <v>445</v>
      </c>
      <c r="F60" s="27" t="s">
        <v>446</v>
      </c>
      <c r="G60" s="27" t="s">
        <v>165</v>
      </c>
      <c r="H60" s="27" t="s">
        <v>165</v>
      </c>
      <c r="I60" s="27" t="s">
        <v>148</v>
      </c>
      <c r="J60" s="27" t="s">
        <v>156</v>
      </c>
      <c r="K60" s="30">
        <v>46552</v>
      </c>
      <c r="L60" s="30">
        <v>46565</v>
      </c>
      <c r="M60" s="20">
        <f t="shared" si="3"/>
        <v>14</v>
      </c>
      <c r="N60" s="27" t="s">
        <v>288</v>
      </c>
      <c r="O60" s="31">
        <v>0</v>
      </c>
      <c r="P60" s="27" t="s">
        <v>447</v>
      </c>
      <c r="Q60" s="27" t="s">
        <v>295</v>
      </c>
      <c r="R60" s="27" t="s">
        <v>425</v>
      </c>
      <c r="S60" s="27"/>
      <c r="T60" s="20">
        <f t="shared" ca="1" si="4"/>
        <v>0</v>
      </c>
      <c r="U60" s="20" t="str">
        <f t="shared" ca="1" si="5"/>
        <v>Green</v>
      </c>
      <c r="V60" s="30"/>
      <c r="W60" s="27"/>
    </row>
    <row r="61" spans="1:23" ht="15" customHeight="1" x14ac:dyDescent="0.2">
      <c r="A61" s="20" t="s">
        <v>448</v>
      </c>
      <c r="B61" s="27" t="s">
        <v>74</v>
      </c>
      <c r="C61" s="27" t="s">
        <v>87</v>
      </c>
      <c r="D61" s="27" t="s">
        <v>229</v>
      </c>
      <c r="E61" s="27" t="s">
        <v>449</v>
      </c>
      <c r="F61" s="27" t="s">
        <v>450</v>
      </c>
      <c r="G61" s="27" t="s">
        <v>148</v>
      </c>
      <c r="H61" s="27" t="s">
        <v>148</v>
      </c>
      <c r="I61" s="27" t="s">
        <v>169</v>
      </c>
      <c r="J61" s="27" t="s">
        <v>160</v>
      </c>
      <c r="K61" s="30">
        <v>46552</v>
      </c>
      <c r="L61" s="30">
        <v>46565</v>
      </c>
      <c r="M61" s="20">
        <f t="shared" si="3"/>
        <v>14</v>
      </c>
      <c r="N61" s="27" t="s">
        <v>288</v>
      </c>
      <c r="O61" s="31">
        <v>0</v>
      </c>
      <c r="P61" s="27" t="s">
        <v>346</v>
      </c>
      <c r="Q61" s="27" t="s">
        <v>295</v>
      </c>
      <c r="R61" s="27" t="s">
        <v>425</v>
      </c>
      <c r="S61" s="27"/>
      <c r="T61" s="20">
        <f t="shared" ca="1" si="4"/>
        <v>0</v>
      </c>
      <c r="U61" s="20" t="str">
        <f t="shared" ca="1" si="5"/>
        <v>Green</v>
      </c>
      <c r="V61" s="30"/>
      <c r="W61" s="27"/>
    </row>
    <row r="62" spans="1:23" ht="23.75" customHeight="1" x14ac:dyDescent="0.2">
      <c r="A62" s="20" t="s">
        <v>451</v>
      </c>
      <c r="B62" s="27" t="s">
        <v>74</v>
      </c>
      <c r="C62" s="27" t="s">
        <v>89</v>
      </c>
      <c r="D62" s="27" t="s">
        <v>217</v>
      </c>
      <c r="E62" s="27" t="s">
        <v>452</v>
      </c>
      <c r="F62" s="27" t="s">
        <v>453</v>
      </c>
      <c r="G62" s="27" t="s">
        <v>121</v>
      </c>
      <c r="H62" s="27" t="s">
        <v>114</v>
      </c>
      <c r="I62" s="27" t="s">
        <v>156</v>
      </c>
      <c r="J62" s="27" t="s">
        <v>134</v>
      </c>
      <c r="K62" s="30">
        <v>46573</v>
      </c>
      <c r="L62" s="30">
        <v>46579</v>
      </c>
      <c r="M62" s="20">
        <f t="shared" si="3"/>
        <v>7</v>
      </c>
      <c r="N62" s="27" t="s">
        <v>288</v>
      </c>
      <c r="O62" s="31">
        <v>0</v>
      </c>
      <c r="P62" s="27" t="s">
        <v>454</v>
      </c>
      <c r="Q62" s="27" t="s">
        <v>280</v>
      </c>
      <c r="R62" s="27" t="s">
        <v>425</v>
      </c>
      <c r="S62" s="27"/>
      <c r="T62" s="20">
        <f t="shared" ca="1" si="4"/>
        <v>0</v>
      </c>
      <c r="U62" s="20" t="str">
        <f t="shared" ca="1" si="5"/>
        <v>Green</v>
      </c>
      <c r="V62" s="30"/>
      <c r="W62" s="27"/>
    </row>
    <row r="63" spans="1:23" ht="15" customHeight="1" x14ac:dyDescent="0.2">
      <c r="A63" s="20" t="s">
        <v>455</v>
      </c>
      <c r="B63" s="27" t="s">
        <v>75</v>
      </c>
      <c r="C63" s="27" t="s">
        <v>82</v>
      </c>
      <c r="D63" s="27" t="s">
        <v>223</v>
      </c>
      <c r="E63" s="27" t="s">
        <v>456</v>
      </c>
      <c r="F63" s="27" t="s">
        <v>457</v>
      </c>
      <c r="G63" s="27" t="s">
        <v>188</v>
      </c>
      <c r="H63" s="27" t="s">
        <v>188</v>
      </c>
      <c r="I63" s="27" t="s">
        <v>160</v>
      </c>
      <c r="J63" s="27" t="s">
        <v>134</v>
      </c>
      <c r="K63" s="30">
        <v>46510</v>
      </c>
      <c r="L63" s="30">
        <v>46544</v>
      </c>
      <c r="M63" s="20">
        <f t="shared" si="3"/>
        <v>35</v>
      </c>
      <c r="N63" s="27" t="s">
        <v>288</v>
      </c>
      <c r="O63" s="31">
        <v>0</v>
      </c>
      <c r="P63" s="27" t="s">
        <v>369</v>
      </c>
      <c r="Q63" s="27" t="s">
        <v>295</v>
      </c>
      <c r="R63" s="27" t="s">
        <v>458</v>
      </c>
      <c r="S63" s="27"/>
      <c r="T63" s="20">
        <f t="shared" ca="1" si="4"/>
        <v>0</v>
      </c>
      <c r="U63" s="20" t="str">
        <f t="shared" ca="1" si="5"/>
        <v>Green</v>
      </c>
      <c r="V63" s="30"/>
      <c r="W63" s="27"/>
    </row>
    <row r="64" spans="1:23" ht="15" customHeight="1" x14ac:dyDescent="0.2">
      <c r="A64" s="20" t="s">
        <v>459</v>
      </c>
      <c r="B64" s="27" t="s">
        <v>75</v>
      </c>
      <c r="C64" s="27" t="s">
        <v>82</v>
      </c>
      <c r="D64" s="27" t="s">
        <v>223</v>
      </c>
      <c r="E64" s="27" t="s">
        <v>460</v>
      </c>
      <c r="F64" s="27" t="s">
        <v>461</v>
      </c>
      <c r="G64" s="27" t="s">
        <v>188</v>
      </c>
      <c r="H64" s="27" t="s">
        <v>160</v>
      </c>
      <c r="I64" s="27" t="s">
        <v>134</v>
      </c>
      <c r="J64" s="27" t="s">
        <v>156</v>
      </c>
      <c r="K64" s="30">
        <v>46538</v>
      </c>
      <c r="L64" s="30">
        <v>46551</v>
      </c>
      <c r="M64" s="20">
        <f t="shared" si="3"/>
        <v>14</v>
      </c>
      <c r="N64" s="27" t="s">
        <v>288</v>
      </c>
      <c r="O64" s="31">
        <v>0</v>
      </c>
      <c r="P64" s="27" t="s">
        <v>462</v>
      </c>
      <c r="Q64" s="27" t="s">
        <v>295</v>
      </c>
      <c r="R64" s="27" t="s">
        <v>458</v>
      </c>
      <c r="S64" s="27"/>
      <c r="T64" s="20">
        <f t="shared" ca="1" si="4"/>
        <v>0</v>
      </c>
      <c r="U64" s="20" t="str">
        <f t="shared" ca="1" si="5"/>
        <v>Green</v>
      </c>
      <c r="V64" s="30"/>
      <c r="W64" s="27"/>
    </row>
    <row r="65" spans="1:23" ht="15" customHeight="1" x14ac:dyDescent="0.2">
      <c r="A65" s="20" t="s">
        <v>463</v>
      </c>
      <c r="B65" s="27" t="s">
        <v>75</v>
      </c>
      <c r="C65" s="27" t="s">
        <v>88</v>
      </c>
      <c r="D65" s="27" t="s">
        <v>223</v>
      </c>
      <c r="E65" s="27" t="s">
        <v>464</v>
      </c>
      <c r="F65" s="27" t="s">
        <v>465</v>
      </c>
      <c r="G65" s="27" t="s">
        <v>160</v>
      </c>
      <c r="H65" s="27" t="s">
        <v>160</v>
      </c>
      <c r="I65" s="27" t="s">
        <v>188</v>
      </c>
      <c r="J65" s="27" t="s">
        <v>184</v>
      </c>
      <c r="K65" s="30">
        <v>46510</v>
      </c>
      <c r="L65" s="30">
        <v>46565</v>
      </c>
      <c r="M65" s="20">
        <f t="shared" si="3"/>
        <v>56</v>
      </c>
      <c r="N65" s="27" t="s">
        <v>288</v>
      </c>
      <c r="O65" s="31">
        <v>0</v>
      </c>
      <c r="P65" s="27" t="s">
        <v>372</v>
      </c>
      <c r="Q65" s="27" t="s">
        <v>295</v>
      </c>
      <c r="R65" s="27" t="s">
        <v>458</v>
      </c>
      <c r="S65" s="27"/>
      <c r="T65" s="20">
        <f t="shared" ca="1" si="4"/>
        <v>0</v>
      </c>
      <c r="U65" s="20" t="str">
        <f t="shared" ca="1" si="5"/>
        <v>Green</v>
      </c>
      <c r="V65" s="30"/>
      <c r="W65" s="27"/>
    </row>
    <row r="66" spans="1:23" ht="15" customHeight="1" x14ac:dyDescent="0.2">
      <c r="A66" s="20" t="s">
        <v>466</v>
      </c>
      <c r="B66" s="27" t="s">
        <v>75</v>
      </c>
      <c r="C66" s="27" t="s">
        <v>82</v>
      </c>
      <c r="D66" s="27" t="s">
        <v>223</v>
      </c>
      <c r="E66" s="27" t="s">
        <v>467</v>
      </c>
      <c r="F66" s="27" t="s">
        <v>468</v>
      </c>
      <c r="G66" s="27" t="s">
        <v>188</v>
      </c>
      <c r="H66" s="27" t="s">
        <v>160</v>
      </c>
      <c r="I66" s="27" t="s">
        <v>134</v>
      </c>
      <c r="J66" s="27" t="s">
        <v>179</v>
      </c>
      <c r="K66" s="30">
        <v>46566</v>
      </c>
      <c r="L66" s="30">
        <v>46586</v>
      </c>
      <c r="M66" s="20">
        <f t="shared" si="3"/>
        <v>21</v>
      </c>
      <c r="N66" s="27" t="s">
        <v>288</v>
      </c>
      <c r="O66" s="31">
        <v>0</v>
      </c>
      <c r="P66" s="27" t="s">
        <v>469</v>
      </c>
      <c r="Q66" s="27" t="s">
        <v>295</v>
      </c>
      <c r="R66" s="27" t="s">
        <v>458</v>
      </c>
      <c r="S66" s="27"/>
      <c r="T66" s="20">
        <f t="shared" ca="1" si="4"/>
        <v>0</v>
      </c>
      <c r="U66" s="20" t="str">
        <f t="shared" ca="1" si="5"/>
        <v>Green</v>
      </c>
      <c r="V66" s="30"/>
      <c r="W66" s="27"/>
    </row>
    <row r="67" spans="1:23" ht="15" customHeight="1" x14ac:dyDescent="0.2">
      <c r="A67" s="20" t="s">
        <v>470</v>
      </c>
      <c r="B67" s="27" t="s">
        <v>75</v>
      </c>
      <c r="C67" s="27" t="s">
        <v>82</v>
      </c>
      <c r="D67" s="27" t="s">
        <v>229</v>
      </c>
      <c r="E67" s="27" t="s">
        <v>471</v>
      </c>
      <c r="F67" s="27" t="s">
        <v>472</v>
      </c>
      <c r="G67" s="27" t="s">
        <v>188</v>
      </c>
      <c r="H67" s="27" t="s">
        <v>121</v>
      </c>
      <c r="I67" s="27" t="s">
        <v>165</v>
      </c>
      <c r="J67" s="27" t="s">
        <v>169</v>
      </c>
      <c r="K67" s="30">
        <v>46552</v>
      </c>
      <c r="L67" s="30">
        <v>46586</v>
      </c>
      <c r="M67" s="20">
        <f t="shared" si="3"/>
        <v>35</v>
      </c>
      <c r="N67" s="27" t="s">
        <v>288</v>
      </c>
      <c r="O67" s="31">
        <v>0</v>
      </c>
      <c r="P67" s="27" t="s">
        <v>323</v>
      </c>
      <c r="Q67" s="27" t="s">
        <v>280</v>
      </c>
      <c r="R67" s="27"/>
      <c r="S67" s="27"/>
      <c r="T67" s="20">
        <f t="shared" ca="1" si="4"/>
        <v>0</v>
      </c>
      <c r="U67" s="20" t="str">
        <f t="shared" ca="1" si="5"/>
        <v>Green</v>
      </c>
      <c r="V67" s="30"/>
      <c r="W67" s="27"/>
    </row>
    <row r="68" spans="1:23" ht="15" customHeight="1" x14ac:dyDescent="0.2">
      <c r="A68" s="20" t="s">
        <v>473</v>
      </c>
      <c r="B68" s="27" t="s">
        <v>75</v>
      </c>
      <c r="C68" s="27" t="s">
        <v>88</v>
      </c>
      <c r="D68" s="27" t="s">
        <v>223</v>
      </c>
      <c r="E68" s="27" t="s">
        <v>474</v>
      </c>
      <c r="F68" s="27" t="s">
        <v>475</v>
      </c>
      <c r="G68" s="27" t="s">
        <v>160</v>
      </c>
      <c r="H68" s="27" t="s">
        <v>160</v>
      </c>
      <c r="I68" s="27" t="s">
        <v>143</v>
      </c>
      <c r="J68" s="27" t="s">
        <v>134</v>
      </c>
      <c r="K68" s="30">
        <v>46580</v>
      </c>
      <c r="L68" s="30">
        <v>46586</v>
      </c>
      <c r="M68" s="20">
        <f t="shared" si="3"/>
        <v>7</v>
      </c>
      <c r="N68" s="27" t="s">
        <v>288</v>
      </c>
      <c r="O68" s="31">
        <v>0</v>
      </c>
      <c r="P68" s="27" t="s">
        <v>476</v>
      </c>
      <c r="Q68" s="27" t="s">
        <v>295</v>
      </c>
      <c r="R68" s="27" t="s">
        <v>458</v>
      </c>
      <c r="S68" s="27"/>
      <c r="T68" s="20">
        <f t="shared" ca="1" si="4"/>
        <v>0</v>
      </c>
      <c r="U68" s="20" t="str">
        <f t="shared" ca="1" si="5"/>
        <v>Green</v>
      </c>
      <c r="V68" s="30"/>
      <c r="W68" s="27"/>
    </row>
    <row r="69" spans="1:23" ht="15" customHeight="1" x14ac:dyDescent="0.2">
      <c r="A69" s="20" t="s">
        <v>477</v>
      </c>
      <c r="B69" s="27" t="s">
        <v>75</v>
      </c>
      <c r="C69" s="27" t="s">
        <v>89</v>
      </c>
      <c r="D69" s="27" t="s">
        <v>223</v>
      </c>
      <c r="E69" s="27" t="s">
        <v>478</v>
      </c>
      <c r="F69" s="27" t="s">
        <v>479</v>
      </c>
      <c r="G69" s="27" t="s">
        <v>121</v>
      </c>
      <c r="H69" s="27" t="s">
        <v>114</v>
      </c>
      <c r="I69" s="27" t="s">
        <v>188</v>
      </c>
      <c r="J69" s="27" t="s">
        <v>160</v>
      </c>
      <c r="K69" s="30">
        <v>46587</v>
      </c>
      <c r="L69" s="30">
        <v>46593</v>
      </c>
      <c r="M69" s="20">
        <f t="shared" ref="M69:M85" si="6">IF(OR(K69="",L69=""),"",L69-K69+1)</f>
        <v>7</v>
      </c>
      <c r="N69" s="27" t="s">
        <v>288</v>
      </c>
      <c r="O69" s="31">
        <v>0</v>
      </c>
      <c r="P69" s="27" t="s">
        <v>480</v>
      </c>
      <c r="Q69" s="27" t="s">
        <v>280</v>
      </c>
      <c r="R69" s="27" t="s">
        <v>458</v>
      </c>
      <c r="S69" s="27"/>
      <c r="T69" s="20">
        <f t="shared" ref="T69:T85" ca="1" si="7">IF(OR(N69="Complete",N69="Deferred",L69=""),0,MAX(0,TODAY()-L69))</f>
        <v>0</v>
      </c>
      <c r="U69" s="20" t="str">
        <f t="shared" ref="U69:U85" ca="1" si="8">IF(N69="Complete","Done",IF(OR(N69="Blocked",T69&gt;5),"Red",IF(OR(N69="At Risk",T69&gt;0,AND(N69="Not Started",K69&lt;TODAY())),"Amber","Green")))</f>
        <v>Green</v>
      </c>
      <c r="V69" s="30"/>
      <c r="W69" s="27"/>
    </row>
    <row r="70" spans="1:23" ht="23.75" customHeight="1" x14ac:dyDescent="0.2">
      <c r="A70" s="20" t="s">
        <v>481</v>
      </c>
      <c r="B70" s="27" t="s">
        <v>76</v>
      </c>
      <c r="C70" s="27" t="s">
        <v>83</v>
      </c>
      <c r="D70" s="27" t="s">
        <v>214</v>
      </c>
      <c r="E70" s="27" t="s">
        <v>482</v>
      </c>
      <c r="F70" s="27" t="s">
        <v>483</v>
      </c>
      <c r="G70" s="27" t="s">
        <v>197</v>
      </c>
      <c r="H70" s="27" t="s">
        <v>121</v>
      </c>
      <c r="I70" s="27" t="s">
        <v>139</v>
      </c>
      <c r="J70" s="27" t="s">
        <v>160</v>
      </c>
      <c r="K70" s="30">
        <v>46566</v>
      </c>
      <c r="L70" s="30">
        <v>46579</v>
      </c>
      <c r="M70" s="20">
        <f t="shared" si="6"/>
        <v>14</v>
      </c>
      <c r="N70" s="27" t="s">
        <v>288</v>
      </c>
      <c r="O70" s="31">
        <v>0</v>
      </c>
      <c r="P70" s="27" t="s">
        <v>451</v>
      </c>
      <c r="Q70" s="27" t="s">
        <v>272</v>
      </c>
      <c r="R70" s="27" t="s">
        <v>484</v>
      </c>
      <c r="S70" s="27"/>
      <c r="T70" s="20">
        <f t="shared" ca="1" si="7"/>
        <v>0</v>
      </c>
      <c r="U70" s="20" t="str">
        <f t="shared" ca="1" si="8"/>
        <v>Green</v>
      </c>
      <c r="V70" s="30"/>
      <c r="W70" s="27"/>
    </row>
    <row r="71" spans="1:23" ht="15" customHeight="1" x14ac:dyDescent="0.2">
      <c r="A71" s="20" t="s">
        <v>485</v>
      </c>
      <c r="B71" s="27" t="s">
        <v>76</v>
      </c>
      <c r="C71" s="27" t="s">
        <v>83</v>
      </c>
      <c r="D71" s="27" t="s">
        <v>214</v>
      </c>
      <c r="E71" s="27" t="s">
        <v>486</v>
      </c>
      <c r="F71" s="27" t="s">
        <v>487</v>
      </c>
      <c r="G71" s="27" t="s">
        <v>197</v>
      </c>
      <c r="H71" s="27" t="s">
        <v>197</v>
      </c>
      <c r="I71" s="27" t="s">
        <v>152</v>
      </c>
      <c r="J71" s="27" t="s">
        <v>148</v>
      </c>
      <c r="K71" s="30">
        <v>46580</v>
      </c>
      <c r="L71" s="30">
        <v>46586</v>
      </c>
      <c r="M71" s="20">
        <f t="shared" si="6"/>
        <v>7</v>
      </c>
      <c r="N71" s="27" t="s">
        <v>288</v>
      </c>
      <c r="O71" s="31">
        <v>0</v>
      </c>
      <c r="P71" s="27" t="s">
        <v>488</v>
      </c>
      <c r="Q71" s="27" t="s">
        <v>295</v>
      </c>
      <c r="R71" s="27" t="s">
        <v>484</v>
      </c>
      <c r="S71" s="27"/>
      <c r="T71" s="20">
        <f t="shared" ca="1" si="7"/>
        <v>0</v>
      </c>
      <c r="U71" s="20" t="str">
        <f t="shared" ca="1" si="8"/>
        <v>Green</v>
      </c>
      <c r="V71" s="30"/>
      <c r="W71" s="27"/>
    </row>
    <row r="72" spans="1:23" ht="23.75" customHeight="1" x14ac:dyDescent="0.2">
      <c r="A72" s="20" t="s">
        <v>489</v>
      </c>
      <c r="B72" s="27" t="s">
        <v>76</v>
      </c>
      <c r="C72" s="27" t="s">
        <v>83</v>
      </c>
      <c r="D72" s="27" t="s">
        <v>214</v>
      </c>
      <c r="E72" s="27" t="s">
        <v>490</v>
      </c>
      <c r="F72" s="27" t="s">
        <v>491</v>
      </c>
      <c r="G72" s="27" t="s">
        <v>197</v>
      </c>
      <c r="H72" s="27" t="s">
        <v>114</v>
      </c>
      <c r="I72" s="27" t="s">
        <v>121</v>
      </c>
      <c r="J72" s="27" t="s">
        <v>160</v>
      </c>
      <c r="K72" s="30">
        <v>46594</v>
      </c>
      <c r="L72" s="30">
        <v>46600</v>
      </c>
      <c r="M72" s="20">
        <f t="shared" si="6"/>
        <v>7</v>
      </c>
      <c r="N72" s="27" t="s">
        <v>288</v>
      </c>
      <c r="O72" s="31">
        <v>0</v>
      </c>
      <c r="P72" s="27" t="s">
        <v>492</v>
      </c>
      <c r="Q72" s="27" t="s">
        <v>280</v>
      </c>
      <c r="R72" s="27" t="s">
        <v>484</v>
      </c>
      <c r="S72" s="27"/>
      <c r="T72" s="20">
        <f t="shared" ca="1" si="7"/>
        <v>0</v>
      </c>
      <c r="U72" s="20" t="str">
        <f t="shared" ca="1" si="8"/>
        <v>Green</v>
      </c>
      <c r="V72" s="30"/>
      <c r="W72" s="27"/>
    </row>
    <row r="73" spans="1:23" ht="15" customHeight="1" x14ac:dyDescent="0.2">
      <c r="A73" s="20" t="s">
        <v>493</v>
      </c>
      <c r="B73" s="27" t="s">
        <v>76</v>
      </c>
      <c r="C73" s="27" t="s">
        <v>87</v>
      </c>
      <c r="D73" s="27" t="s">
        <v>217</v>
      </c>
      <c r="E73" s="27" t="s">
        <v>494</v>
      </c>
      <c r="F73" s="27" t="s">
        <v>495</v>
      </c>
      <c r="G73" s="27" t="s">
        <v>152</v>
      </c>
      <c r="H73" s="27" t="s">
        <v>148</v>
      </c>
      <c r="I73" s="27" t="s">
        <v>139</v>
      </c>
      <c r="J73" s="27" t="s">
        <v>160</v>
      </c>
      <c r="K73" s="30">
        <v>46601</v>
      </c>
      <c r="L73" s="30">
        <v>46607</v>
      </c>
      <c r="M73" s="20">
        <f t="shared" si="6"/>
        <v>7</v>
      </c>
      <c r="N73" s="27" t="s">
        <v>288</v>
      </c>
      <c r="O73" s="31">
        <v>0</v>
      </c>
      <c r="P73" s="27" t="s">
        <v>489</v>
      </c>
      <c r="Q73" s="27" t="s">
        <v>295</v>
      </c>
      <c r="R73" s="27" t="s">
        <v>484</v>
      </c>
      <c r="S73" s="27"/>
      <c r="T73" s="20">
        <f t="shared" ca="1" si="7"/>
        <v>0</v>
      </c>
      <c r="U73" s="20" t="str">
        <f t="shared" ca="1" si="8"/>
        <v>Green</v>
      </c>
      <c r="V73" s="30"/>
      <c r="W73" s="27"/>
    </row>
    <row r="74" spans="1:23" ht="15" customHeight="1" x14ac:dyDescent="0.2">
      <c r="A74" s="20" t="s">
        <v>496</v>
      </c>
      <c r="B74" s="27" t="s">
        <v>76</v>
      </c>
      <c r="C74" s="27" t="s">
        <v>96</v>
      </c>
      <c r="D74" s="27" t="s">
        <v>217</v>
      </c>
      <c r="E74" s="27" t="s">
        <v>497</v>
      </c>
      <c r="F74" s="27" t="s">
        <v>498</v>
      </c>
      <c r="G74" s="27" t="s">
        <v>139</v>
      </c>
      <c r="H74" s="27" t="s">
        <v>134</v>
      </c>
      <c r="I74" s="27" t="s">
        <v>193</v>
      </c>
      <c r="J74" s="27" t="s">
        <v>197</v>
      </c>
      <c r="K74" s="30">
        <v>46601</v>
      </c>
      <c r="L74" s="30">
        <v>46607</v>
      </c>
      <c r="M74" s="20">
        <f t="shared" si="6"/>
        <v>7</v>
      </c>
      <c r="N74" s="27" t="s">
        <v>288</v>
      </c>
      <c r="O74" s="31">
        <v>0</v>
      </c>
      <c r="P74" s="27" t="s">
        <v>489</v>
      </c>
      <c r="Q74" s="27" t="s">
        <v>295</v>
      </c>
      <c r="R74" s="27" t="s">
        <v>484</v>
      </c>
      <c r="S74" s="27"/>
      <c r="T74" s="20">
        <f t="shared" ca="1" si="7"/>
        <v>0</v>
      </c>
      <c r="U74" s="20" t="str">
        <f t="shared" ca="1" si="8"/>
        <v>Green</v>
      </c>
      <c r="V74" s="30"/>
      <c r="W74" s="27"/>
    </row>
    <row r="75" spans="1:23" ht="15" customHeight="1" x14ac:dyDescent="0.2">
      <c r="A75" s="20" t="s">
        <v>499</v>
      </c>
      <c r="B75" s="27" t="s">
        <v>76</v>
      </c>
      <c r="C75" s="27" t="s">
        <v>83</v>
      </c>
      <c r="D75" s="27" t="s">
        <v>214</v>
      </c>
      <c r="E75" s="27" t="s">
        <v>500</v>
      </c>
      <c r="F75" s="27" t="s">
        <v>501</v>
      </c>
      <c r="G75" s="27" t="s">
        <v>197</v>
      </c>
      <c r="H75" s="27" t="s">
        <v>121</v>
      </c>
      <c r="I75" s="27" t="s">
        <v>201</v>
      </c>
      <c r="J75" s="27" t="s">
        <v>160</v>
      </c>
      <c r="K75" s="30">
        <v>46601</v>
      </c>
      <c r="L75" s="30">
        <v>46614</v>
      </c>
      <c r="M75" s="20">
        <f t="shared" si="6"/>
        <v>14</v>
      </c>
      <c r="N75" s="27" t="s">
        <v>288</v>
      </c>
      <c r="O75" s="31">
        <v>0</v>
      </c>
      <c r="P75" s="27" t="s">
        <v>489</v>
      </c>
      <c r="Q75" s="27" t="s">
        <v>280</v>
      </c>
      <c r="R75" s="27"/>
      <c r="S75" s="27"/>
      <c r="T75" s="20">
        <f t="shared" ca="1" si="7"/>
        <v>0</v>
      </c>
      <c r="U75" s="20" t="str">
        <f t="shared" ca="1" si="8"/>
        <v>Green</v>
      </c>
      <c r="V75" s="30"/>
      <c r="W75" s="27"/>
    </row>
    <row r="76" spans="1:23" ht="15" customHeight="1" x14ac:dyDescent="0.2">
      <c r="A76" s="20" t="s">
        <v>502</v>
      </c>
      <c r="B76" s="27" t="s">
        <v>76</v>
      </c>
      <c r="C76" s="27" t="s">
        <v>88</v>
      </c>
      <c r="D76" s="27" t="s">
        <v>229</v>
      </c>
      <c r="E76" s="27" t="s">
        <v>503</v>
      </c>
      <c r="F76" s="27" t="s">
        <v>504</v>
      </c>
      <c r="G76" s="27" t="s">
        <v>160</v>
      </c>
      <c r="H76" s="27" t="s">
        <v>160</v>
      </c>
      <c r="I76" s="27" t="s">
        <v>165</v>
      </c>
      <c r="J76" s="27" t="s">
        <v>134</v>
      </c>
      <c r="K76" s="30">
        <v>46608</v>
      </c>
      <c r="L76" s="30">
        <v>46614</v>
      </c>
      <c r="M76" s="20">
        <f t="shared" si="6"/>
        <v>7</v>
      </c>
      <c r="N76" s="27" t="s">
        <v>288</v>
      </c>
      <c r="O76" s="31">
        <v>0</v>
      </c>
      <c r="P76" s="27" t="s">
        <v>505</v>
      </c>
      <c r="Q76" s="27" t="s">
        <v>295</v>
      </c>
      <c r="R76" s="27" t="s">
        <v>484</v>
      </c>
      <c r="S76" s="27"/>
      <c r="T76" s="20">
        <f t="shared" ca="1" si="7"/>
        <v>0</v>
      </c>
      <c r="U76" s="20" t="str">
        <f t="shared" ca="1" si="8"/>
        <v>Green</v>
      </c>
      <c r="V76" s="30"/>
      <c r="W76" s="27"/>
    </row>
    <row r="77" spans="1:23" ht="15" customHeight="1" x14ac:dyDescent="0.2">
      <c r="A77" s="20" t="s">
        <v>506</v>
      </c>
      <c r="B77" s="27" t="s">
        <v>76</v>
      </c>
      <c r="C77" s="27" t="s">
        <v>88</v>
      </c>
      <c r="D77" s="27" t="s">
        <v>229</v>
      </c>
      <c r="E77" s="27" t="s">
        <v>507</v>
      </c>
      <c r="F77" s="27" t="s">
        <v>508</v>
      </c>
      <c r="G77" s="27" t="s">
        <v>160</v>
      </c>
      <c r="H77" s="27" t="s">
        <v>160</v>
      </c>
      <c r="I77" s="27" t="s">
        <v>165</v>
      </c>
      <c r="J77" s="27" t="s">
        <v>134</v>
      </c>
      <c r="K77" s="30">
        <v>46608</v>
      </c>
      <c r="L77" s="30">
        <v>46614</v>
      </c>
      <c r="M77" s="20">
        <f t="shared" si="6"/>
        <v>7</v>
      </c>
      <c r="N77" s="27" t="s">
        <v>288</v>
      </c>
      <c r="O77" s="31">
        <v>0</v>
      </c>
      <c r="P77" s="27" t="s">
        <v>502</v>
      </c>
      <c r="Q77" s="27" t="s">
        <v>295</v>
      </c>
      <c r="R77" s="27" t="s">
        <v>484</v>
      </c>
      <c r="S77" s="27"/>
      <c r="T77" s="20">
        <f t="shared" ca="1" si="7"/>
        <v>0</v>
      </c>
      <c r="U77" s="20" t="str">
        <f t="shared" ca="1" si="8"/>
        <v>Green</v>
      </c>
      <c r="V77" s="30"/>
      <c r="W77" s="27"/>
    </row>
    <row r="78" spans="1:23" ht="23.75" customHeight="1" x14ac:dyDescent="0.2">
      <c r="A78" s="20" t="s">
        <v>509</v>
      </c>
      <c r="B78" s="27" t="s">
        <v>76</v>
      </c>
      <c r="C78" s="27" t="s">
        <v>89</v>
      </c>
      <c r="D78" s="27" t="s">
        <v>214</v>
      </c>
      <c r="E78" s="27" t="s">
        <v>510</v>
      </c>
      <c r="F78" s="27" t="s">
        <v>511</v>
      </c>
      <c r="G78" s="27" t="s">
        <v>121</v>
      </c>
      <c r="H78" s="27" t="s">
        <v>114</v>
      </c>
      <c r="I78" s="27" t="s">
        <v>197</v>
      </c>
      <c r="J78" s="27" t="s">
        <v>160</v>
      </c>
      <c r="K78" s="30">
        <v>46608</v>
      </c>
      <c r="L78" s="30">
        <v>46614</v>
      </c>
      <c r="M78" s="20">
        <f t="shared" si="6"/>
        <v>7</v>
      </c>
      <c r="N78" s="27" t="s">
        <v>288</v>
      </c>
      <c r="O78" s="31">
        <v>0</v>
      </c>
      <c r="P78" s="27" t="s">
        <v>512</v>
      </c>
      <c r="Q78" s="27" t="s">
        <v>280</v>
      </c>
      <c r="R78" s="27" t="s">
        <v>484</v>
      </c>
      <c r="S78" s="27"/>
      <c r="T78" s="20">
        <f t="shared" ca="1" si="7"/>
        <v>0</v>
      </c>
      <c r="U78" s="20" t="str">
        <f t="shared" ca="1" si="8"/>
        <v>Green</v>
      </c>
      <c r="V78" s="30"/>
      <c r="W78" s="27"/>
    </row>
    <row r="79" spans="1:23" ht="23.75" customHeight="1" x14ac:dyDescent="0.2">
      <c r="A79" s="20" t="s">
        <v>513</v>
      </c>
      <c r="B79" s="27" t="s">
        <v>77</v>
      </c>
      <c r="C79" s="27" t="s">
        <v>85</v>
      </c>
      <c r="D79" s="27" t="s">
        <v>235</v>
      </c>
      <c r="E79" s="27" t="s">
        <v>514</v>
      </c>
      <c r="F79" s="27" t="s">
        <v>515</v>
      </c>
      <c r="G79" s="27" t="s">
        <v>201</v>
      </c>
      <c r="H79" s="27" t="s">
        <v>201</v>
      </c>
      <c r="I79" s="27" t="s">
        <v>160</v>
      </c>
      <c r="J79" s="27" t="s">
        <v>134</v>
      </c>
      <c r="K79" s="30">
        <v>46608</v>
      </c>
      <c r="L79" s="30">
        <v>46649</v>
      </c>
      <c r="M79" s="20">
        <f t="shared" si="6"/>
        <v>42</v>
      </c>
      <c r="N79" s="27" t="s">
        <v>288</v>
      </c>
      <c r="O79" s="31">
        <v>0</v>
      </c>
      <c r="P79" s="27" t="s">
        <v>509</v>
      </c>
      <c r="Q79" s="27" t="s">
        <v>295</v>
      </c>
      <c r="R79" s="27"/>
      <c r="S79" s="27"/>
      <c r="T79" s="20">
        <f t="shared" ca="1" si="7"/>
        <v>0</v>
      </c>
      <c r="U79" s="20" t="str">
        <f t="shared" ca="1" si="8"/>
        <v>Green</v>
      </c>
      <c r="V79" s="30"/>
      <c r="W79" s="27"/>
    </row>
    <row r="80" spans="1:23" ht="15" customHeight="1" x14ac:dyDescent="0.2">
      <c r="A80" s="20" t="s">
        <v>516</v>
      </c>
      <c r="B80" s="27" t="s">
        <v>77</v>
      </c>
      <c r="C80" s="27" t="s">
        <v>85</v>
      </c>
      <c r="D80" s="27" t="s">
        <v>220</v>
      </c>
      <c r="E80" s="27" t="s">
        <v>517</v>
      </c>
      <c r="F80" s="27" t="s">
        <v>518</v>
      </c>
      <c r="G80" s="27" t="s">
        <v>160</v>
      </c>
      <c r="H80" s="27" t="s">
        <v>160</v>
      </c>
      <c r="I80" s="27" t="s">
        <v>143</v>
      </c>
      <c r="J80" s="27" t="s">
        <v>165</v>
      </c>
      <c r="K80" s="30">
        <v>46615</v>
      </c>
      <c r="L80" s="30">
        <v>46656</v>
      </c>
      <c r="M80" s="20">
        <f t="shared" si="6"/>
        <v>42</v>
      </c>
      <c r="N80" s="27" t="s">
        <v>288</v>
      </c>
      <c r="O80" s="31">
        <v>0</v>
      </c>
      <c r="P80" s="27" t="s">
        <v>509</v>
      </c>
      <c r="Q80" s="27" t="s">
        <v>295</v>
      </c>
      <c r="R80" s="27" t="s">
        <v>519</v>
      </c>
      <c r="S80" s="27"/>
      <c r="T80" s="20">
        <f t="shared" ca="1" si="7"/>
        <v>0</v>
      </c>
      <c r="U80" s="20" t="str">
        <f t="shared" ca="1" si="8"/>
        <v>Green</v>
      </c>
      <c r="V80" s="30"/>
      <c r="W80" s="27"/>
    </row>
    <row r="81" spans="1:23" ht="15" customHeight="1" x14ac:dyDescent="0.2">
      <c r="A81" s="20" t="s">
        <v>520</v>
      </c>
      <c r="B81" s="27" t="s">
        <v>77</v>
      </c>
      <c r="C81" s="27" t="s">
        <v>84</v>
      </c>
      <c r="D81" s="27" t="s">
        <v>232</v>
      </c>
      <c r="E81" s="27" t="s">
        <v>521</v>
      </c>
      <c r="F81" s="27" t="s">
        <v>522</v>
      </c>
      <c r="G81" s="27" t="s">
        <v>184</v>
      </c>
      <c r="H81" s="27" t="s">
        <v>184</v>
      </c>
      <c r="I81" s="27" t="s">
        <v>121</v>
      </c>
      <c r="J81" s="27" t="s">
        <v>114</v>
      </c>
      <c r="K81" s="30">
        <v>46636</v>
      </c>
      <c r="L81" s="30">
        <v>46656</v>
      </c>
      <c r="M81" s="20">
        <f t="shared" si="6"/>
        <v>21</v>
      </c>
      <c r="N81" s="27" t="s">
        <v>288</v>
      </c>
      <c r="O81" s="31">
        <v>0</v>
      </c>
      <c r="P81" s="27" t="s">
        <v>378</v>
      </c>
      <c r="Q81" s="27" t="s">
        <v>523</v>
      </c>
      <c r="R81" s="27" t="s">
        <v>519</v>
      </c>
      <c r="S81" s="27"/>
      <c r="T81" s="20">
        <f t="shared" ca="1" si="7"/>
        <v>0</v>
      </c>
      <c r="U81" s="20" t="str">
        <f t="shared" ca="1" si="8"/>
        <v>Green</v>
      </c>
      <c r="V81" s="30"/>
      <c r="W81" s="27"/>
    </row>
    <row r="82" spans="1:23" ht="15" customHeight="1" x14ac:dyDescent="0.2">
      <c r="A82" s="20" t="s">
        <v>524</v>
      </c>
      <c r="B82" s="27" t="s">
        <v>77</v>
      </c>
      <c r="C82" s="27" t="s">
        <v>95</v>
      </c>
      <c r="D82" s="27" t="s">
        <v>220</v>
      </c>
      <c r="E82" s="27" t="s">
        <v>525</v>
      </c>
      <c r="F82" s="27" t="s">
        <v>526</v>
      </c>
      <c r="G82" s="27" t="s">
        <v>169</v>
      </c>
      <c r="H82" s="27" t="s">
        <v>143</v>
      </c>
      <c r="I82" s="27" t="s">
        <v>174</v>
      </c>
      <c r="J82" s="27" t="s">
        <v>184</v>
      </c>
      <c r="K82" s="30">
        <v>46636</v>
      </c>
      <c r="L82" s="30">
        <v>46649</v>
      </c>
      <c r="M82" s="20">
        <f t="shared" si="6"/>
        <v>14</v>
      </c>
      <c r="N82" s="27" t="s">
        <v>288</v>
      </c>
      <c r="O82" s="31">
        <v>0</v>
      </c>
      <c r="P82" s="27" t="s">
        <v>436</v>
      </c>
      <c r="Q82" s="27" t="s">
        <v>523</v>
      </c>
      <c r="R82" s="27" t="s">
        <v>519</v>
      </c>
      <c r="S82" s="27"/>
      <c r="T82" s="20">
        <f t="shared" ca="1" si="7"/>
        <v>0</v>
      </c>
      <c r="U82" s="20" t="str">
        <f t="shared" ca="1" si="8"/>
        <v>Green</v>
      </c>
      <c r="V82" s="30"/>
      <c r="W82" s="27"/>
    </row>
    <row r="83" spans="1:23" ht="15" customHeight="1" x14ac:dyDescent="0.2">
      <c r="A83" s="20" t="s">
        <v>527</v>
      </c>
      <c r="B83" s="27" t="s">
        <v>77</v>
      </c>
      <c r="C83" s="27" t="s">
        <v>85</v>
      </c>
      <c r="D83" s="27" t="s">
        <v>235</v>
      </c>
      <c r="E83" s="27" t="s">
        <v>528</v>
      </c>
      <c r="F83" s="27" t="s">
        <v>529</v>
      </c>
      <c r="G83" s="27" t="s">
        <v>201</v>
      </c>
      <c r="H83" s="27" t="s">
        <v>201</v>
      </c>
      <c r="I83" s="27" t="s">
        <v>139</v>
      </c>
      <c r="J83" s="27" t="s">
        <v>160</v>
      </c>
      <c r="K83" s="30">
        <v>46650</v>
      </c>
      <c r="L83" s="30">
        <v>46656</v>
      </c>
      <c r="M83" s="20">
        <f t="shared" si="6"/>
        <v>7</v>
      </c>
      <c r="N83" s="27" t="s">
        <v>288</v>
      </c>
      <c r="O83" s="31">
        <v>0</v>
      </c>
      <c r="P83" s="27" t="s">
        <v>513</v>
      </c>
      <c r="Q83" s="27" t="s">
        <v>523</v>
      </c>
      <c r="R83" s="27" t="s">
        <v>519</v>
      </c>
      <c r="S83" s="27"/>
      <c r="T83" s="20">
        <f t="shared" ca="1" si="7"/>
        <v>0</v>
      </c>
      <c r="U83" s="20" t="str">
        <f t="shared" ca="1" si="8"/>
        <v>Green</v>
      </c>
      <c r="V83" s="30"/>
      <c r="W83" s="27"/>
    </row>
    <row r="84" spans="1:23" ht="23.75" customHeight="1" x14ac:dyDescent="0.2">
      <c r="A84" s="20" t="s">
        <v>530</v>
      </c>
      <c r="B84" s="27" t="s">
        <v>77</v>
      </c>
      <c r="C84" s="27" t="s">
        <v>89</v>
      </c>
      <c r="D84" s="27" t="s">
        <v>235</v>
      </c>
      <c r="E84" s="27" t="s">
        <v>531</v>
      </c>
      <c r="F84" s="27" t="s">
        <v>532</v>
      </c>
      <c r="G84" s="27" t="s">
        <v>121</v>
      </c>
      <c r="H84" s="27" t="s">
        <v>121</v>
      </c>
      <c r="I84" s="27" t="s">
        <v>160</v>
      </c>
      <c r="J84" s="27" t="s">
        <v>114</v>
      </c>
      <c r="K84" s="30">
        <v>46650</v>
      </c>
      <c r="L84" s="30">
        <v>46656</v>
      </c>
      <c r="M84" s="20">
        <f t="shared" si="6"/>
        <v>7</v>
      </c>
      <c r="N84" s="27" t="s">
        <v>288</v>
      </c>
      <c r="O84" s="31">
        <v>0</v>
      </c>
      <c r="P84" s="27" t="s">
        <v>513</v>
      </c>
      <c r="Q84" s="27" t="s">
        <v>523</v>
      </c>
      <c r="R84" s="27" t="s">
        <v>519</v>
      </c>
      <c r="S84" s="27"/>
      <c r="T84" s="20">
        <f t="shared" ca="1" si="7"/>
        <v>0</v>
      </c>
      <c r="U84" s="20" t="str">
        <f t="shared" ca="1" si="8"/>
        <v>Green</v>
      </c>
      <c r="V84" s="30"/>
      <c r="W84" s="27"/>
    </row>
    <row r="85" spans="1:23" ht="23.75" customHeight="1" x14ac:dyDescent="0.2">
      <c r="A85" s="20" t="s">
        <v>533</v>
      </c>
      <c r="B85" s="27" t="s">
        <v>77</v>
      </c>
      <c r="C85" s="27" t="s">
        <v>89</v>
      </c>
      <c r="D85" s="27" t="s">
        <v>235</v>
      </c>
      <c r="E85" s="27" t="s">
        <v>534</v>
      </c>
      <c r="F85" s="27" t="s">
        <v>535</v>
      </c>
      <c r="G85" s="27" t="s">
        <v>121</v>
      </c>
      <c r="H85" s="27" t="s">
        <v>114</v>
      </c>
      <c r="I85" s="27" t="s">
        <v>201</v>
      </c>
      <c r="J85" s="27" t="s">
        <v>184</v>
      </c>
      <c r="K85" s="30">
        <v>46657</v>
      </c>
      <c r="L85" s="30">
        <v>46663</v>
      </c>
      <c r="M85" s="20">
        <f t="shared" si="6"/>
        <v>7</v>
      </c>
      <c r="N85" s="27" t="s">
        <v>288</v>
      </c>
      <c r="O85" s="31">
        <v>0</v>
      </c>
      <c r="P85" s="27" t="s">
        <v>536</v>
      </c>
      <c r="Q85" s="27" t="s">
        <v>523</v>
      </c>
      <c r="R85" s="27" t="s">
        <v>519</v>
      </c>
      <c r="S85" s="27"/>
      <c r="T85" s="20">
        <f t="shared" ca="1" si="7"/>
        <v>0</v>
      </c>
      <c r="U85" s="20" t="str">
        <f t="shared" ca="1" si="8"/>
        <v>Green</v>
      </c>
      <c r="V85" s="30"/>
      <c r="W85" s="27"/>
    </row>
  </sheetData>
  <autoFilter ref="A4:W85" xr:uid="{00000000-0009-0000-0000-000004000000}"/>
  <conditionalFormatting sqref="N5:N185">
    <cfRule type="cellIs" dxfId="17" priority="6" operator="equal">
      <formula>"Blocked"</formula>
    </cfRule>
    <cfRule type="cellIs" dxfId="16" priority="7" operator="equal">
      <formula>"At Risk"</formula>
    </cfRule>
    <cfRule type="cellIs" dxfId="15" priority="8" operator="equal">
      <formula>"Complete"</formula>
    </cfRule>
  </conditionalFormatting>
  <conditionalFormatting sqref="U5:U185">
    <cfRule type="cellIs" dxfId="14" priority="2" operator="equal">
      <formula>"Red"</formula>
    </cfRule>
    <cfRule type="cellIs" dxfId="13" priority="3" operator="equal">
      <formula>"Amber"</formula>
    </cfRule>
    <cfRule type="cellIs" dxfId="12" priority="4" operator="equal">
      <formula>"Green"</formula>
    </cfRule>
    <cfRule type="cellIs" dxfId="11" priority="5" operator="equal">
      <formula>"Done"</formula>
    </cfRule>
  </conditionalFormatting>
  <dataValidations count="5">
    <dataValidation type="list" allowBlank="1" sqref="N5:N185" xr:uid="{00000000-0002-0000-0400-000000000000}">
      <formula1>"Not Started,In Progress,At Risk,Blocked,Complete,Deferred"</formula1>
      <formula2>0</formula2>
    </dataValidation>
    <dataValidation type="list" allowBlank="1" sqref="B5:B185" xr:uid="{00000000-0002-0000-0400-000001000000}">
      <formula1>"1. Initiation,2. Planning &amp; Design,3. Build &amp; Configure,4. Site Readiness,5. Integration &amp; Testing,6. Training &amp; Change,7. Cutover &amp; Go-Live,8. Hypercare &amp; Close"</formula1>
      <formula2>0</formula2>
    </dataValidation>
    <dataValidation type="list" allowBlank="1" sqref="Q5:Q185" xr:uid="{00000000-0002-0000-0400-000002000000}">
      <formula1>"Intake,Plan,Monitor,Communicate,Close"</formula1>
      <formula2>0</formula2>
    </dataValidation>
    <dataValidation type="list" allowBlank="1" sqref="C5:C185" xr:uid="{00000000-0002-0000-0400-000003000000}">
      <formula1>"Automation (MHE),Change &amp; Training,Cutover &amp; Go-Live,Finance,Hypercare &amp; Close,Infrastructure,Integration &amp; Data,Operations &amp; Staffing,PMO,Safety &amp; Compliance,Site Readiness,Sponsor,Testing,Transportation,Vendors,WMS / WCS"</formula1>
      <formula2>0</formula2>
    </dataValidation>
    <dataValidation type="list" allowBlank="1" sqref="R5:R185" xr:uid="{00000000-0002-0000-0400-000006000000}">
      <formula1>"G1,G2,G3,G4,G5,G6,G7,G8"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4000000}">
          <x14:formula1>
            <xm:f>Objectives!$A$5:$A$40</xm:f>
          </x14:formula1>
          <x14:formula2>
            <xm:f>0</xm:f>
          </x14:formula2>
          <xm:sqref>D5:D185</xm:sqref>
        </x14:dataValidation>
        <x14:dataValidation type="list" allowBlank="1" xr:uid="{00000000-0002-0000-0400-000005000000}">
          <x14:formula1>
            <xm:f>Stakeholders!$A$5:$A$44</xm:f>
          </x14:formula1>
          <x14:formula2>
            <xm:f>0</xm:f>
          </x14:formula2>
          <xm:sqref>G5:J185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89"/>
  <sheetViews>
    <sheetView zoomScaleNormal="100" workbookViewId="0">
      <pane xSplit="4" ySplit="4" topLeftCell="E33" activePane="bottomRight" state="frozen"/>
      <selection pane="topRight" activeCell="E1" sqref="E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9" customWidth="1"/>
    <col min="2" max="2" width="18" customWidth="1"/>
    <col min="3" max="3" width="26" customWidth="1"/>
    <col min="4" max="4" width="12" customWidth="1"/>
    <col min="5" max="24" width="6" customWidth="1"/>
  </cols>
  <sheetData>
    <row r="1" spans="1:28" ht="19.75" customHeight="1" x14ac:dyDescent="0.2">
      <c r="A1" s="26" t="s">
        <v>537</v>
      </c>
    </row>
    <row r="2" spans="1:28" ht="15" customHeight="1" x14ac:dyDescent="0.2">
      <c r="A2" s="10" t="s">
        <v>538</v>
      </c>
    </row>
    <row r="3" spans="1:28" ht="15" customHeight="1" x14ac:dyDescent="0.2">
      <c r="D3" s="32" t="s">
        <v>539</v>
      </c>
      <c r="E3" s="33" t="s">
        <v>114</v>
      </c>
      <c r="F3" s="33" t="s">
        <v>121</v>
      </c>
      <c r="G3" s="33" t="s">
        <v>125</v>
      </c>
      <c r="H3" s="33" t="s">
        <v>129</v>
      </c>
      <c r="I3" s="33" t="s">
        <v>134</v>
      </c>
      <c r="J3" s="33" t="s">
        <v>139</v>
      </c>
      <c r="K3" s="33" t="s">
        <v>143</v>
      </c>
      <c r="L3" s="33" t="s">
        <v>148</v>
      </c>
      <c r="M3" s="33" t="s">
        <v>152</v>
      </c>
      <c r="N3" s="33" t="s">
        <v>156</v>
      </c>
      <c r="O3" s="33" t="s">
        <v>160</v>
      </c>
      <c r="P3" s="33" t="s">
        <v>165</v>
      </c>
      <c r="Q3" s="33" t="s">
        <v>169</v>
      </c>
      <c r="R3" s="33" t="s">
        <v>174</v>
      </c>
      <c r="S3" s="33" t="s">
        <v>179</v>
      </c>
      <c r="T3" s="33" t="s">
        <v>184</v>
      </c>
      <c r="U3" s="33" t="s">
        <v>188</v>
      </c>
      <c r="V3" s="33" t="s">
        <v>193</v>
      </c>
      <c r="W3" s="33" t="s">
        <v>197</v>
      </c>
      <c r="X3" s="33" t="s">
        <v>201</v>
      </c>
    </row>
    <row r="4" spans="1:28" ht="150" customHeight="1" x14ac:dyDescent="0.2">
      <c r="A4" s="15" t="s">
        <v>240</v>
      </c>
      <c r="B4" s="15" t="s">
        <v>62</v>
      </c>
      <c r="C4" s="15" t="s">
        <v>241</v>
      </c>
      <c r="D4" s="15" t="s">
        <v>213</v>
      </c>
      <c r="E4" s="34" t="s">
        <v>115</v>
      </c>
      <c r="F4" s="34" t="s">
        <v>122</v>
      </c>
      <c r="G4" s="34" t="s">
        <v>126</v>
      </c>
      <c r="H4" s="34" t="s">
        <v>130</v>
      </c>
      <c r="I4" s="34" t="s">
        <v>135</v>
      </c>
      <c r="J4" s="34" t="s">
        <v>140</v>
      </c>
      <c r="K4" s="34" t="s">
        <v>144</v>
      </c>
      <c r="L4" s="34" t="s">
        <v>149</v>
      </c>
      <c r="M4" s="34" t="s">
        <v>153</v>
      </c>
      <c r="N4" s="34" t="s">
        <v>157</v>
      </c>
      <c r="O4" s="34" t="s">
        <v>161</v>
      </c>
      <c r="P4" s="34" t="s">
        <v>166</v>
      </c>
      <c r="Q4" s="34" t="s">
        <v>170</v>
      </c>
      <c r="R4" s="34" t="s">
        <v>175</v>
      </c>
      <c r="S4" s="34" t="s">
        <v>180</v>
      </c>
      <c r="T4" s="34" t="s">
        <v>185</v>
      </c>
      <c r="U4" s="34" t="s">
        <v>189</v>
      </c>
      <c r="V4" s="34" t="s">
        <v>194</v>
      </c>
      <c r="W4" s="34" t="s">
        <v>198</v>
      </c>
      <c r="X4" s="34" t="s">
        <v>202</v>
      </c>
      <c r="Y4" s="15" t="s">
        <v>540</v>
      </c>
      <c r="Z4" s="15" t="s">
        <v>541</v>
      </c>
      <c r="AA4" s="15" t="s">
        <v>542</v>
      </c>
      <c r="AB4" s="15" t="s">
        <v>543</v>
      </c>
    </row>
    <row r="5" spans="1:28" ht="15" customHeight="1" x14ac:dyDescent="0.2">
      <c r="A5" s="35" t="str">
        <f>'Master Plan'!A5</f>
        <v>T-001</v>
      </c>
      <c r="B5" s="35" t="str">
        <f>'Master Plan'!B5</f>
        <v>1. Initiation</v>
      </c>
      <c r="C5" s="35" t="str">
        <f>'Master Plan'!E5</f>
        <v>Project Charter</v>
      </c>
      <c r="D5" s="35" t="str">
        <f>'Master Plan'!N5</f>
        <v>Complete</v>
      </c>
      <c r="E5" s="20" t="str">
        <f>IF('Master Plan'!$G5=E$3,"R",IF('Master Plan'!$H5=E$3,"A",IF('Master Plan'!$I5=E$3,"C",IF('Master Plan'!$J5=E$3,"I",""))))</f>
        <v>A</v>
      </c>
      <c r="F5" s="20" t="str">
        <f>IF('Master Plan'!$G5=F$3,"R",IF('Master Plan'!$H5=F$3,"A",IF('Master Plan'!$I5=F$3,"C",IF('Master Plan'!$J5=F$3,"I",""))))</f>
        <v>R</v>
      </c>
      <c r="G5" s="20" t="str">
        <f>IF('Master Plan'!$G5=G$3,"R",IF('Master Plan'!$H5=G$3,"A",IF('Master Plan'!$I5=G$3,"C",IF('Master Plan'!$J5=G$3,"I",""))))</f>
        <v/>
      </c>
      <c r="H5" s="20" t="str">
        <f>IF('Master Plan'!$G5=H$3,"R",IF('Master Plan'!$H5=H$3,"A",IF('Master Plan'!$I5=H$3,"C",IF('Master Plan'!$J5=H$3,"I",""))))</f>
        <v/>
      </c>
      <c r="I5" s="20" t="str">
        <f>IF('Master Plan'!$G5=I$3,"R",IF('Master Plan'!$H5=I$3,"A",IF('Master Plan'!$I5=I$3,"C",IF('Master Plan'!$J5=I$3,"I",""))))</f>
        <v/>
      </c>
      <c r="J5" s="20" t="str">
        <f>IF('Master Plan'!$G5=J$3,"R",IF('Master Plan'!$H5=J$3,"A",IF('Master Plan'!$I5=J$3,"C",IF('Master Plan'!$J5=J$3,"I",""))))</f>
        <v/>
      </c>
      <c r="K5" s="20" t="str">
        <f>IF('Master Plan'!$G5=K$3,"R",IF('Master Plan'!$H5=K$3,"A",IF('Master Plan'!$I5=K$3,"C",IF('Master Plan'!$J5=K$3,"I",""))))</f>
        <v/>
      </c>
      <c r="L5" s="20" t="str">
        <f>IF('Master Plan'!$G5=L$3,"R",IF('Master Plan'!$H5=L$3,"A",IF('Master Plan'!$I5=L$3,"C",IF('Master Plan'!$J5=L$3,"I",""))))</f>
        <v/>
      </c>
      <c r="M5" s="20" t="str">
        <f>IF('Master Plan'!$G5=M$3,"R",IF('Master Plan'!$H5=M$3,"A",IF('Master Plan'!$I5=M$3,"C",IF('Master Plan'!$J5=M$3,"I",""))))</f>
        <v/>
      </c>
      <c r="N5" s="20" t="str">
        <f>IF('Master Plan'!$G5=N$3,"R",IF('Master Plan'!$H5=N$3,"A",IF('Master Plan'!$I5=N$3,"C",IF('Master Plan'!$J5=N$3,"I",""))))</f>
        <v/>
      </c>
      <c r="O5" s="20" t="str">
        <f>IF('Master Plan'!$G5=O$3,"R",IF('Master Plan'!$H5=O$3,"A",IF('Master Plan'!$I5=O$3,"C",IF('Master Plan'!$J5=O$3,"I",""))))</f>
        <v>I</v>
      </c>
      <c r="P5" s="20" t="str">
        <f>IF('Master Plan'!$G5=P$3,"R",IF('Master Plan'!$H5=P$3,"A",IF('Master Plan'!$I5=P$3,"C",IF('Master Plan'!$J5=P$3,"I",""))))</f>
        <v/>
      </c>
      <c r="Q5" s="20" t="str">
        <f>IF('Master Plan'!$G5=Q$3,"R",IF('Master Plan'!$H5=Q$3,"A",IF('Master Plan'!$I5=Q$3,"C",IF('Master Plan'!$J5=Q$3,"I",""))))</f>
        <v/>
      </c>
      <c r="R5" s="20" t="str">
        <f>IF('Master Plan'!$G5=R$3,"R",IF('Master Plan'!$H5=R$3,"A",IF('Master Plan'!$I5=R$3,"C",IF('Master Plan'!$J5=R$3,"I",""))))</f>
        <v/>
      </c>
      <c r="S5" s="20" t="str">
        <f>IF('Master Plan'!$G5=S$3,"R",IF('Master Plan'!$H5=S$3,"A",IF('Master Plan'!$I5=S$3,"C",IF('Master Plan'!$J5=S$3,"I",""))))</f>
        <v/>
      </c>
      <c r="T5" s="20" t="str">
        <f>IF('Master Plan'!$G5=T$3,"R",IF('Master Plan'!$H5=T$3,"A",IF('Master Plan'!$I5=T$3,"C",IF('Master Plan'!$J5=T$3,"I",""))))</f>
        <v>C</v>
      </c>
      <c r="U5" s="20" t="str">
        <f>IF('Master Plan'!$G5=U$3,"R",IF('Master Plan'!$H5=U$3,"A",IF('Master Plan'!$I5=U$3,"C",IF('Master Plan'!$J5=U$3,"I",""))))</f>
        <v/>
      </c>
      <c r="V5" s="20" t="str">
        <f>IF('Master Plan'!$G5=V$3,"R",IF('Master Plan'!$H5=V$3,"A",IF('Master Plan'!$I5=V$3,"C",IF('Master Plan'!$J5=V$3,"I",""))))</f>
        <v/>
      </c>
      <c r="W5" s="20" t="str">
        <f>IF('Master Plan'!$G5=W$3,"R",IF('Master Plan'!$H5=W$3,"A",IF('Master Plan'!$I5=W$3,"C",IF('Master Plan'!$J5=W$3,"I",""))))</f>
        <v/>
      </c>
      <c r="X5" s="20" t="str">
        <f>IF('Master Plan'!$G5=X$3,"R",IF('Master Plan'!$H5=X$3,"A",IF('Master Plan'!$I5=X$3,"C",IF('Master Plan'!$J5=X$3,"I",""))))</f>
        <v/>
      </c>
      <c r="Y5" s="20">
        <f t="shared" ref="Y5:Y36" si="0">COUNTIF(E5:X5,"R")</f>
        <v>1</v>
      </c>
      <c r="Z5" s="20">
        <f t="shared" ref="Z5:Z36" si="1">COUNTIF(E5:X5,"A")</f>
        <v>1</v>
      </c>
      <c r="AA5" s="20">
        <f t="shared" ref="AA5:AA36" si="2">COUNTIF(E5:X5,"C")</f>
        <v>1</v>
      </c>
      <c r="AB5" s="20">
        <f t="shared" ref="AB5:AB36" si="3">COUNTIF(E5:X5,"I")</f>
        <v>1</v>
      </c>
    </row>
    <row r="6" spans="1:28" ht="15" customHeight="1" x14ac:dyDescent="0.2">
      <c r="A6" s="35" t="str">
        <f>'Master Plan'!A6</f>
        <v>T-002</v>
      </c>
      <c r="B6" s="35" t="str">
        <f>'Master Plan'!B6</f>
        <v>1. Initiation</v>
      </c>
      <c r="C6" s="35" t="str">
        <f>'Master Plan'!E6</f>
        <v>Project Charter</v>
      </c>
      <c r="D6" s="35" t="str">
        <f>'Master Plan'!N6</f>
        <v>Complete</v>
      </c>
      <c r="E6" s="20" t="str">
        <f>IF('Master Plan'!$G6=E$3,"R",IF('Master Plan'!$H6=E$3,"A",IF('Master Plan'!$I6=E$3,"C",IF('Master Plan'!$J6=E$3,"I",""))))</f>
        <v>R</v>
      </c>
      <c r="F6" s="20" t="str">
        <f>IF('Master Plan'!$G6=F$3,"R",IF('Master Plan'!$H6=F$3,"A",IF('Master Plan'!$I6=F$3,"C",IF('Master Plan'!$J6=F$3,"I",""))))</f>
        <v>C</v>
      </c>
      <c r="G6" s="20" t="str">
        <f>IF('Master Plan'!$G6=G$3,"R",IF('Master Plan'!$H6=G$3,"A",IF('Master Plan'!$I6=G$3,"C",IF('Master Plan'!$J6=G$3,"I",""))))</f>
        <v>I</v>
      </c>
      <c r="H6" s="20" t="str">
        <f>IF('Master Plan'!$G6=H$3,"R",IF('Master Plan'!$H6=H$3,"A",IF('Master Plan'!$I6=H$3,"C",IF('Master Plan'!$J6=H$3,"I",""))))</f>
        <v/>
      </c>
      <c r="I6" s="20" t="str">
        <f>IF('Master Plan'!$G6=I$3,"R",IF('Master Plan'!$H6=I$3,"A",IF('Master Plan'!$I6=I$3,"C",IF('Master Plan'!$J6=I$3,"I",""))))</f>
        <v/>
      </c>
      <c r="J6" s="20" t="str">
        <f>IF('Master Plan'!$G6=J$3,"R",IF('Master Plan'!$H6=J$3,"A",IF('Master Plan'!$I6=J$3,"C",IF('Master Plan'!$J6=J$3,"I",""))))</f>
        <v/>
      </c>
      <c r="K6" s="20" t="str">
        <f>IF('Master Plan'!$G6=K$3,"R",IF('Master Plan'!$H6=K$3,"A",IF('Master Plan'!$I6=K$3,"C",IF('Master Plan'!$J6=K$3,"I",""))))</f>
        <v/>
      </c>
      <c r="L6" s="20" t="str">
        <f>IF('Master Plan'!$G6=L$3,"R",IF('Master Plan'!$H6=L$3,"A",IF('Master Plan'!$I6=L$3,"C",IF('Master Plan'!$J6=L$3,"I",""))))</f>
        <v/>
      </c>
      <c r="M6" s="20" t="str">
        <f>IF('Master Plan'!$G6=M$3,"R",IF('Master Plan'!$H6=M$3,"A",IF('Master Plan'!$I6=M$3,"C",IF('Master Plan'!$J6=M$3,"I",""))))</f>
        <v/>
      </c>
      <c r="N6" s="20" t="str">
        <f>IF('Master Plan'!$G6=N$3,"R",IF('Master Plan'!$H6=N$3,"A",IF('Master Plan'!$I6=N$3,"C",IF('Master Plan'!$J6=N$3,"I",""))))</f>
        <v/>
      </c>
      <c r="O6" s="20" t="str">
        <f>IF('Master Plan'!$G6=O$3,"R",IF('Master Plan'!$H6=O$3,"A",IF('Master Plan'!$I6=O$3,"C",IF('Master Plan'!$J6=O$3,"I",""))))</f>
        <v/>
      </c>
      <c r="P6" s="20" t="str">
        <f>IF('Master Plan'!$G6=P$3,"R",IF('Master Plan'!$H6=P$3,"A",IF('Master Plan'!$I6=P$3,"C",IF('Master Plan'!$J6=P$3,"I",""))))</f>
        <v/>
      </c>
      <c r="Q6" s="20" t="str">
        <f>IF('Master Plan'!$G6=Q$3,"R",IF('Master Plan'!$H6=Q$3,"A",IF('Master Plan'!$I6=Q$3,"C",IF('Master Plan'!$J6=Q$3,"I",""))))</f>
        <v/>
      </c>
      <c r="R6" s="20" t="str">
        <f>IF('Master Plan'!$G6=R$3,"R",IF('Master Plan'!$H6=R$3,"A",IF('Master Plan'!$I6=R$3,"C",IF('Master Plan'!$J6=R$3,"I",""))))</f>
        <v/>
      </c>
      <c r="S6" s="20" t="str">
        <f>IF('Master Plan'!$G6=S$3,"R",IF('Master Plan'!$H6=S$3,"A",IF('Master Plan'!$I6=S$3,"C",IF('Master Plan'!$J6=S$3,"I",""))))</f>
        <v/>
      </c>
      <c r="T6" s="20" t="str">
        <f>IF('Master Plan'!$G6=T$3,"R",IF('Master Plan'!$H6=T$3,"A",IF('Master Plan'!$I6=T$3,"C",IF('Master Plan'!$J6=T$3,"I",""))))</f>
        <v/>
      </c>
      <c r="U6" s="20" t="str">
        <f>IF('Master Plan'!$G6=U$3,"R",IF('Master Plan'!$H6=U$3,"A",IF('Master Plan'!$I6=U$3,"C",IF('Master Plan'!$J6=U$3,"I",""))))</f>
        <v/>
      </c>
      <c r="V6" s="20" t="str">
        <f>IF('Master Plan'!$G6=V$3,"R",IF('Master Plan'!$H6=V$3,"A",IF('Master Plan'!$I6=V$3,"C",IF('Master Plan'!$J6=V$3,"I",""))))</f>
        <v/>
      </c>
      <c r="W6" s="20" t="str">
        <f>IF('Master Plan'!$G6=W$3,"R",IF('Master Plan'!$H6=W$3,"A",IF('Master Plan'!$I6=W$3,"C",IF('Master Plan'!$J6=W$3,"I",""))))</f>
        <v/>
      </c>
      <c r="X6" s="20" t="str">
        <f>IF('Master Plan'!$G6=X$3,"R",IF('Master Plan'!$H6=X$3,"A",IF('Master Plan'!$I6=X$3,"C",IF('Master Plan'!$J6=X$3,"I",""))))</f>
        <v/>
      </c>
      <c r="Y6" s="20">
        <f t="shared" si="0"/>
        <v>1</v>
      </c>
      <c r="Z6" s="20">
        <f t="shared" si="1"/>
        <v>0</v>
      </c>
      <c r="AA6" s="20">
        <f t="shared" si="2"/>
        <v>1</v>
      </c>
      <c r="AB6" s="20">
        <f t="shared" si="3"/>
        <v>1</v>
      </c>
    </row>
    <row r="7" spans="1:28" ht="15" customHeight="1" x14ac:dyDescent="0.2">
      <c r="A7" s="35" t="str">
        <f>'Master Plan'!A7</f>
        <v>T-003</v>
      </c>
      <c r="B7" s="35" t="str">
        <f>'Master Plan'!B7</f>
        <v>1. Initiation</v>
      </c>
      <c r="C7" s="35" t="str">
        <f>'Master Plan'!E7</f>
        <v>Stakeholder Register</v>
      </c>
      <c r="D7" s="35" t="str">
        <f>'Master Plan'!N7</f>
        <v>Complete</v>
      </c>
      <c r="E7" s="20" t="str">
        <f>IF('Master Plan'!$G7=E$3,"R",IF('Master Plan'!$H7=E$3,"A",IF('Master Plan'!$I7=E$3,"C",IF('Master Plan'!$J7=E$3,"I",""))))</f>
        <v>A</v>
      </c>
      <c r="F7" s="20" t="str">
        <f>IF('Master Plan'!$G7=F$3,"R",IF('Master Plan'!$H7=F$3,"A",IF('Master Plan'!$I7=F$3,"C",IF('Master Plan'!$J7=F$3,"I",""))))</f>
        <v>R</v>
      </c>
      <c r="G7" s="20" t="str">
        <f>IF('Master Plan'!$G7=G$3,"R",IF('Master Plan'!$H7=G$3,"A",IF('Master Plan'!$I7=G$3,"C",IF('Master Plan'!$J7=G$3,"I",""))))</f>
        <v>I</v>
      </c>
      <c r="H7" s="20" t="str">
        <f>IF('Master Plan'!$G7=H$3,"R",IF('Master Plan'!$H7=H$3,"A",IF('Master Plan'!$I7=H$3,"C",IF('Master Plan'!$J7=H$3,"I",""))))</f>
        <v/>
      </c>
      <c r="I7" s="20" t="str">
        <f>IF('Master Plan'!$G7=I$3,"R",IF('Master Plan'!$H7=I$3,"A",IF('Master Plan'!$I7=I$3,"C",IF('Master Plan'!$J7=I$3,"I",""))))</f>
        <v/>
      </c>
      <c r="J7" s="20" t="str">
        <f>IF('Master Plan'!$G7=J$3,"R",IF('Master Plan'!$H7=J$3,"A",IF('Master Plan'!$I7=J$3,"C",IF('Master Plan'!$J7=J$3,"I",""))))</f>
        <v/>
      </c>
      <c r="K7" s="20" t="str">
        <f>IF('Master Plan'!$G7=K$3,"R",IF('Master Plan'!$H7=K$3,"A",IF('Master Plan'!$I7=K$3,"C",IF('Master Plan'!$J7=K$3,"I",""))))</f>
        <v/>
      </c>
      <c r="L7" s="20" t="str">
        <f>IF('Master Plan'!$G7=L$3,"R",IF('Master Plan'!$H7=L$3,"A",IF('Master Plan'!$I7=L$3,"C",IF('Master Plan'!$J7=L$3,"I",""))))</f>
        <v/>
      </c>
      <c r="M7" s="20" t="str">
        <f>IF('Master Plan'!$G7=M$3,"R",IF('Master Plan'!$H7=M$3,"A",IF('Master Plan'!$I7=M$3,"C",IF('Master Plan'!$J7=M$3,"I",""))))</f>
        <v/>
      </c>
      <c r="N7" s="20" t="str">
        <f>IF('Master Plan'!$G7=N$3,"R",IF('Master Plan'!$H7=N$3,"A",IF('Master Plan'!$I7=N$3,"C",IF('Master Plan'!$J7=N$3,"I",""))))</f>
        <v/>
      </c>
      <c r="O7" s="20" t="str">
        <f>IF('Master Plan'!$G7=O$3,"R",IF('Master Plan'!$H7=O$3,"A",IF('Master Plan'!$I7=O$3,"C",IF('Master Plan'!$J7=O$3,"I",""))))</f>
        <v>C</v>
      </c>
      <c r="P7" s="20" t="str">
        <f>IF('Master Plan'!$G7=P$3,"R",IF('Master Plan'!$H7=P$3,"A",IF('Master Plan'!$I7=P$3,"C",IF('Master Plan'!$J7=P$3,"I",""))))</f>
        <v/>
      </c>
      <c r="Q7" s="20" t="str">
        <f>IF('Master Plan'!$G7=Q$3,"R",IF('Master Plan'!$H7=Q$3,"A",IF('Master Plan'!$I7=Q$3,"C",IF('Master Plan'!$J7=Q$3,"I",""))))</f>
        <v/>
      </c>
      <c r="R7" s="20" t="str">
        <f>IF('Master Plan'!$G7=R$3,"R",IF('Master Plan'!$H7=R$3,"A",IF('Master Plan'!$I7=R$3,"C",IF('Master Plan'!$J7=R$3,"I",""))))</f>
        <v/>
      </c>
      <c r="S7" s="20" t="str">
        <f>IF('Master Plan'!$G7=S$3,"R",IF('Master Plan'!$H7=S$3,"A",IF('Master Plan'!$I7=S$3,"C",IF('Master Plan'!$J7=S$3,"I",""))))</f>
        <v/>
      </c>
      <c r="T7" s="20" t="str">
        <f>IF('Master Plan'!$G7=T$3,"R",IF('Master Plan'!$H7=T$3,"A",IF('Master Plan'!$I7=T$3,"C",IF('Master Plan'!$J7=T$3,"I",""))))</f>
        <v/>
      </c>
      <c r="U7" s="20" t="str">
        <f>IF('Master Plan'!$G7=U$3,"R",IF('Master Plan'!$H7=U$3,"A",IF('Master Plan'!$I7=U$3,"C",IF('Master Plan'!$J7=U$3,"I",""))))</f>
        <v/>
      </c>
      <c r="V7" s="20" t="str">
        <f>IF('Master Plan'!$G7=V$3,"R",IF('Master Plan'!$H7=V$3,"A",IF('Master Plan'!$I7=V$3,"C",IF('Master Plan'!$J7=V$3,"I",""))))</f>
        <v/>
      </c>
      <c r="W7" s="20" t="str">
        <f>IF('Master Plan'!$G7=W$3,"R",IF('Master Plan'!$H7=W$3,"A",IF('Master Plan'!$I7=W$3,"C",IF('Master Plan'!$J7=W$3,"I",""))))</f>
        <v/>
      </c>
      <c r="X7" s="20" t="str">
        <f>IF('Master Plan'!$G7=X$3,"R",IF('Master Plan'!$H7=X$3,"A",IF('Master Plan'!$I7=X$3,"C",IF('Master Plan'!$J7=X$3,"I",""))))</f>
        <v/>
      </c>
      <c r="Y7" s="20">
        <f t="shared" si="0"/>
        <v>1</v>
      </c>
      <c r="Z7" s="20">
        <f t="shared" si="1"/>
        <v>1</v>
      </c>
      <c r="AA7" s="20">
        <f t="shared" si="2"/>
        <v>1</v>
      </c>
      <c r="AB7" s="20">
        <f t="shared" si="3"/>
        <v>1</v>
      </c>
    </row>
    <row r="8" spans="1:28" ht="15" customHeight="1" x14ac:dyDescent="0.2">
      <c r="A8" s="35" t="str">
        <f>'Master Plan'!A8</f>
        <v>T-004</v>
      </c>
      <c r="B8" s="35" t="str">
        <f>'Master Plan'!B8</f>
        <v>1. Initiation</v>
      </c>
      <c r="C8" s="35" t="str">
        <f>'Master Plan'!E8</f>
        <v>Budget Baseline</v>
      </c>
      <c r="D8" s="35" t="str">
        <f>'Master Plan'!N8</f>
        <v>Complete</v>
      </c>
      <c r="E8" s="20" t="str">
        <f>IF('Master Plan'!$G8=E$3,"R",IF('Master Plan'!$H8=E$3,"A",IF('Master Plan'!$I8=E$3,"C",IF('Master Plan'!$J8=E$3,"I",""))))</f>
        <v>A</v>
      </c>
      <c r="F8" s="20" t="str">
        <f>IF('Master Plan'!$G8=F$3,"R",IF('Master Plan'!$H8=F$3,"A",IF('Master Plan'!$I8=F$3,"C",IF('Master Plan'!$J8=F$3,"I",""))))</f>
        <v>C</v>
      </c>
      <c r="G8" s="20" t="str">
        <f>IF('Master Plan'!$G8=G$3,"R",IF('Master Plan'!$H8=G$3,"A",IF('Master Plan'!$I8=G$3,"C",IF('Master Plan'!$J8=G$3,"I",""))))</f>
        <v/>
      </c>
      <c r="H8" s="20" t="str">
        <f>IF('Master Plan'!$G8=H$3,"R",IF('Master Plan'!$H8=H$3,"A",IF('Master Plan'!$I8=H$3,"C",IF('Master Plan'!$J8=H$3,"I",""))))</f>
        <v/>
      </c>
      <c r="I8" s="20" t="str">
        <f>IF('Master Plan'!$G8=I$3,"R",IF('Master Plan'!$H8=I$3,"A",IF('Master Plan'!$I8=I$3,"C",IF('Master Plan'!$J8=I$3,"I",""))))</f>
        <v/>
      </c>
      <c r="J8" s="20" t="str">
        <f>IF('Master Plan'!$G8=J$3,"R",IF('Master Plan'!$H8=J$3,"A",IF('Master Plan'!$I8=J$3,"C",IF('Master Plan'!$J8=J$3,"I",""))))</f>
        <v/>
      </c>
      <c r="K8" s="20" t="str">
        <f>IF('Master Plan'!$G8=K$3,"R",IF('Master Plan'!$H8=K$3,"A",IF('Master Plan'!$I8=K$3,"C",IF('Master Plan'!$J8=K$3,"I",""))))</f>
        <v/>
      </c>
      <c r="L8" s="20" t="str">
        <f>IF('Master Plan'!$G8=L$3,"R",IF('Master Plan'!$H8=L$3,"A",IF('Master Plan'!$I8=L$3,"C",IF('Master Plan'!$J8=L$3,"I",""))))</f>
        <v/>
      </c>
      <c r="M8" s="20" t="str">
        <f>IF('Master Plan'!$G8=M$3,"R",IF('Master Plan'!$H8=M$3,"A",IF('Master Plan'!$I8=M$3,"C",IF('Master Plan'!$J8=M$3,"I",""))))</f>
        <v/>
      </c>
      <c r="N8" s="20" t="str">
        <f>IF('Master Plan'!$G8=N$3,"R",IF('Master Plan'!$H8=N$3,"A",IF('Master Plan'!$I8=N$3,"C",IF('Master Plan'!$J8=N$3,"I",""))))</f>
        <v/>
      </c>
      <c r="O8" s="20" t="str">
        <f>IF('Master Plan'!$G8=O$3,"R",IF('Master Plan'!$H8=O$3,"A",IF('Master Plan'!$I8=O$3,"C",IF('Master Plan'!$J8=O$3,"I",""))))</f>
        <v/>
      </c>
      <c r="P8" s="20" t="str">
        <f>IF('Master Plan'!$G8=P$3,"R",IF('Master Plan'!$H8=P$3,"A",IF('Master Plan'!$I8=P$3,"C",IF('Master Plan'!$J8=P$3,"I",""))))</f>
        <v/>
      </c>
      <c r="Q8" s="20" t="str">
        <f>IF('Master Plan'!$G8=Q$3,"R",IF('Master Plan'!$H8=Q$3,"A",IF('Master Plan'!$I8=Q$3,"C",IF('Master Plan'!$J8=Q$3,"I",""))))</f>
        <v>I</v>
      </c>
      <c r="R8" s="20" t="str">
        <f>IF('Master Plan'!$G8=R$3,"R",IF('Master Plan'!$H8=R$3,"A",IF('Master Plan'!$I8=R$3,"C",IF('Master Plan'!$J8=R$3,"I",""))))</f>
        <v/>
      </c>
      <c r="S8" s="20" t="str">
        <f>IF('Master Plan'!$G8=S$3,"R",IF('Master Plan'!$H8=S$3,"A",IF('Master Plan'!$I8=S$3,"C",IF('Master Plan'!$J8=S$3,"I",""))))</f>
        <v/>
      </c>
      <c r="T8" s="20" t="str">
        <f>IF('Master Plan'!$G8=T$3,"R",IF('Master Plan'!$H8=T$3,"A",IF('Master Plan'!$I8=T$3,"C",IF('Master Plan'!$J8=T$3,"I",""))))</f>
        <v>R</v>
      </c>
      <c r="U8" s="20" t="str">
        <f>IF('Master Plan'!$G8=U$3,"R",IF('Master Plan'!$H8=U$3,"A",IF('Master Plan'!$I8=U$3,"C",IF('Master Plan'!$J8=U$3,"I",""))))</f>
        <v/>
      </c>
      <c r="V8" s="20" t="str">
        <f>IF('Master Plan'!$G8=V$3,"R",IF('Master Plan'!$H8=V$3,"A",IF('Master Plan'!$I8=V$3,"C",IF('Master Plan'!$J8=V$3,"I",""))))</f>
        <v/>
      </c>
      <c r="W8" s="20" t="str">
        <f>IF('Master Plan'!$G8=W$3,"R",IF('Master Plan'!$H8=W$3,"A",IF('Master Plan'!$I8=W$3,"C",IF('Master Plan'!$J8=W$3,"I",""))))</f>
        <v/>
      </c>
      <c r="X8" s="20" t="str">
        <f>IF('Master Plan'!$G8=X$3,"R",IF('Master Plan'!$H8=X$3,"A",IF('Master Plan'!$I8=X$3,"C",IF('Master Plan'!$J8=X$3,"I",""))))</f>
        <v/>
      </c>
      <c r="Y8" s="20">
        <f t="shared" si="0"/>
        <v>1</v>
      </c>
      <c r="Z8" s="20">
        <f t="shared" si="1"/>
        <v>1</v>
      </c>
      <c r="AA8" s="20">
        <f t="shared" si="2"/>
        <v>1</v>
      </c>
      <c r="AB8" s="20">
        <f t="shared" si="3"/>
        <v>1</v>
      </c>
    </row>
    <row r="9" spans="1:28" ht="15" customHeight="1" x14ac:dyDescent="0.2">
      <c r="A9" s="35" t="str">
        <f>'Master Plan'!A9</f>
        <v>T-005</v>
      </c>
      <c r="B9" s="35" t="str">
        <f>'Master Plan'!B9</f>
        <v>1. Initiation</v>
      </c>
      <c r="C9" s="35" t="str">
        <f>'Master Plan'!E9</f>
        <v>Governance Model</v>
      </c>
      <c r="D9" s="35" t="str">
        <f>'Master Plan'!N9</f>
        <v>Complete</v>
      </c>
      <c r="E9" s="20" t="str">
        <f>IF('Master Plan'!$G9=E$3,"R",IF('Master Plan'!$H9=E$3,"A",IF('Master Plan'!$I9=E$3,"C",IF('Master Plan'!$J9=E$3,"I",""))))</f>
        <v>A</v>
      </c>
      <c r="F9" s="20" t="str">
        <f>IF('Master Plan'!$G9=F$3,"R",IF('Master Plan'!$H9=F$3,"A",IF('Master Plan'!$I9=F$3,"C",IF('Master Plan'!$J9=F$3,"I",""))))</f>
        <v>R</v>
      </c>
      <c r="G9" s="20" t="str">
        <f>IF('Master Plan'!$G9=G$3,"R",IF('Master Plan'!$H9=G$3,"A",IF('Master Plan'!$I9=G$3,"C",IF('Master Plan'!$J9=G$3,"I",""))))</f>
        <v>C</v>
      </c>
      <c r="H9" s="20" t="str">
        <f>IF('Master Plan'!$G9=H$3,"R",IF('Master Plan'!$H9=H$3,"A",IF('Master Plan'!$I9=H$3,"C",IF('Master Plan'!$J9=H$3,"I",""))))</f>
        <v/>
      </c>
      <c r="I9" s="20" t="str">
        <f>IF('Master Plan'!$G9=I$3,"R",IF('Master Plan'!$H9=I$3,"A",IF('Master Plan'!$I9=I$3,"C",IF('Master Plan'!$J9=I$3,"I",""))))</f>
        <v/>
      </c>
      <c r="J9" s="20" t="str">
        <f>IF('Master Plan'!$G9=J$3,"R",IF('Master Plan'!$H9=J$3,"A",IF('Master Plan'!$I9=J$3,"C",IF('Master Plan'!$J9=J$3,"I",""))))</f>
        <v/>
      </c>
      <c r="K9" s="20" t="str">
        <f>IF('Master Plan'!$G9=K$3,"R",IF('Master Plan'!$H9=K$3,"A",IF('Master Plan'!$I9=K$3,"C",IF('Master Plan'!$J9=K$3,"I",""))))</f>
        <v/>
      </c>
      <c r="L9" s="20" t="str">
        <f>IF('Master Plan'!$G9=L$3,"R",IF('Master Plan'!$H9=L$3,"A",IF('Master Plan'!$I9=L$3,"C",IF('Master Plan'!$J9=L$3,"I",""))))</f>
        <v/>
      </c>
      <c r="M9" s="20" t="str">
        <f>IF('Master Plan'!$G9=M$3,"R",IF('Master Plan'!$H9=M$3,"A",IF('Master Plan'!$I9=M$3,"C",IF('Master Plan'!$J9=M$3,"I",""))))</f>
        <v/>
      </c>
      <c r="N9" s="20" t="str">
        <f>IF('Master Plan'!$G9=N$3,"R",IF('Master Plan'!$H9=N$3,"A",IF('Master Plan'!$I9=N$3,"C",IF('Master Plan'!$J9=N$3,"I",""))))</f>
        <v/>
      </c>
      <c r="O9" s="20" t="str">
        <f>IF('Master Plan'!$G9=O$3,"R",IF('Master Plan'!$H9=O$3,"A",IF('Master Plan'!$I9=O$3,"C",IF('Master Plan'!$J9=O$3,"I",""))))</f>
        <v>I</v>
      </c>
      <c r="P9" s="20" t="str">
        <f>IF('Master Plan'!$G9=P$3,"R",IF('Master Plan'!$H9=P$3,"A",IF('Master Plan'!$I9=P$3,"C",IF('Master Plan'!$J9=P$3,"I",""))))</f>
        <v/>
      </c>
      <c r="Q9" s="20" t="str">
        <f>IF('Master Plan'!$G9=Q$3,"R",IF('Master Plan'!$H9=Q$3,"A",IF('Master Plan'!$I9=Q$3,"C",IF('Master Plan'!$J9=Q$3,"I",""))))</f>
        <v/>
      </c>
      <c r="R9" s="20" t="str">
        <f>IF('Master Plan'!$G9=R$3,"R",IF('Master Plan'!$H9=R$3,"A",IF('Master Plan'!$I9=R$3,"C",IF('Master Plan'!$J9=R$3,"I",""))))</f>
        <v/>
      </c>
      <c r="S9" s="20" t="str">
        <f>IF('Master Plan'!$G9=S$3,"R",IF('Master Plan'!$H9=S$3,"A",IF('Master Plan'!$I9=S$3,"C",IF('Master Plan'!$J9=S$3,"I",""))))</f>
        <v/>
      </c>
      <c r="T9" s="20" t="str">
        <f>IF('Master Plan'!$G9=T$3,"R",IF('Master Plan'!$H9=T$3,"A",IF('Master Plan'!$I9=T$3,"C",IF('Master Plan'!$J9=T$3,"I",""))))</f>
        <v/>
      </c>
      <c r="U9" s="20" t="str">
        <f>IF('Master Plan'!$G9=U$3,"R",IF('Master Plan'!$H9=U$3,"A",IF('Master Plan'!$I9=U$3,"C",IF('Master Plan'!$J9=U$3,"I",""))))</f>
        <v/>
      </c>
      <c r="V9" s="20" t="str">
        <f>IF('Master Plan'!$G9=V$3,"R",IF('Master Plan'!$H9=V$3,"A",IF('Master Plan'!$I9=V$3,"C",IF('Master Plan'!$J9=V$3,"I",""))))</f>
        <v/>
      </c>
      <c r="W9" s="20" t="str">
        <f>IF('Master Plan'!$G9=W$3,"R",IF('Master Plan'!$H9=W$3,"A",IF('Master Plan'!$I9=W$3,"C",IF('Master Plan'!$J9=W$3,"I",""))))</f>
        <v/>
      </c>
      <c r="X9" s="20" t="str">
        <f>IF('Master Plan'!$G9=X$3,"R",IF('Master Plan'!$H9=X$3,"A",IF('Master Plan'!$I9=X$3,"C",IF('Master Plan'!$J9=X$3,"I",""))))</f>
        <v/>
      </c>
      <c r="Y9" s="20">
        <f t="shared" si="0"/>
        <v>1</v>
      </c>
      <c r="Z9" s="20">
        <f t="shared" si="1"/>
        <v>1</v>
      </c>
      <c r="AA9" s="20">
        <f t="shared" si="2"/>
        <v>1</v>
      </c>
      <c r="AB9" s="20">
        <f t="shared" si="3"/>
        <v>1</v>
      </c>
    </row>
    <row r="10" spans="1:28" ht="15" customHeight="1" x14ac:dyDescent="0.2">
      <c r="A10" s="35" t="str">
        <f>'Master Plan'!A10</f>
        <v>T-006</v>
      </c>
      <c r="B10" s="35" t="str">
        <f>'Master Plan'!B10</f>
        <v>1. Initiation</v>
      </c>
      <c r="C10" s="35" t="str">
        <f>'Master Plan'!E10</f>
        <v>Vendor Shortlist</v>
      </c>
      <c r="D10" s="35" t="str">
        <f>'Master Plan'!N10</f>
        <v>In Progress</v>
      </c>
      <c r="E10" s="20" t="str">
        <f>IF('Master Plan'!$G10=E$3,"R",IF('Master Plan'!$H10=E$3,"A",IF('Master Plan'!$I10=E$3,"C",IF('Master Plan'!$J10=E$3,"I",""))))</f>
        <v/>
      </c>
      <c r="F10" s="20" t="str">
        <f>IF('Master Plan'!$G10=F$3,"R",IF('Master Plan'!$H10=F$3,"A",IF('Master Plan'!$I10=F$3,"C",IF('Master Plan'!$J10=F$3,"I",""))))</f>
        <v>A</v>
      </c>
      <c r="G10" s="20" t="str">
        <f>IF('Master Plan'!$G10=G$3,"R",IF('Master Plan'!$H10=G$3,"A",IF('Master Plan'!$I10=G$3,"C",IF('Master Plan'!$J10=G$3,"I",""))))</f>
        <v/>
      </c>
      <c r="H10" s="20" t="str">
        <f>IF('Master Plan'!$G10=H$3,"R",IF('Master Plan'!$H10=H$3,"A",IF('Master Plan'!$I10=H$3,"C",IF('Master Plan'!$J10=H$3,"I",""))))</f>
        <v/>
      </c>
      <c r="I10" s="20" t="str">
        <f>IF('Master Plan'!$G10=I$3,"R",IF('Master Plan'!$H10=I$3,"A",IF('Master Plan'!$I10=I$3,"C",IF('Master Plan'!$J10=I$3,"I",""))))</f>
        <v/>
      </c>
      <c r="J10" s="20" t="str">
        <f>IF('Master Plan'!$G10=J$3,"R",IF('Master Plan'!$H10=J$3,"A",IF('Master Plan'!$I10=J$3,"C",IF('Master Plan'!$J10=J$3,"I",""))))</f>
        <v/>
      </c>
      <c r="K10" s="20" t="str">
        <f>IF('Master Plan'!$G10=K$3,"R",IF('Master Plan'!$H10=K$3,"A",IF('Master Plan'!$I10=K$3,"C",IF('Master Plan'!$J10=K$3,"I",""))))</f>
        <v>C</v>
      </c>
      <c r="L10" s="20" t="str">
        <f>IF('Master Plan'!$G10=L$3,"R",IF('Master Plan'!$H10=L$3,"A",IF('Master Plan'!$I10=L$3,"C",IF('Master Plan'!$J10=L$3,"I",""))))</f>
        <v/>
      </c>
      <c r="M10" s="20" t="str">
        <f>IF('Master Plan'!$G10=M$3,"R",IF('Master Plan'!$H10=M$3,"A",IF('Master Plan'!$I10=M$3,"C",IF('Master Plan'!$J10=M$3,"I",""))))</f>
        <v/>
      </c>
      <c r="N10" s="20" t="str">
        <f>IF('Master Plan'!$G10=N$3,"R",IF('Master Plan'!$H10=N$3,"A",IF('Master Plan'!$I10=N$3,"C",IF('Master Plan'!$J10=N$3,"I",""))))</f>
        <v/>
      </c>
      <c r="O10" s="20" t="str">
        <f>IF('Master Plan'!$G10=O$3,"R",IF('Master Plan'!$H10=O$3,"A",IF('Master Plan'!$I10=O$3,"C",IF('Master Plan'!$J10=O$3,"I",""))))</f>
        <v/>
      </c>
      <c r="P10" s="20" t="str">
        <f>IF('Master Plan'!$G10=P$3,"R",IF('Master Plan'!$H10=P$3,"A",IF('Master Plan'!$I10=P$3,"C",IF('Master Plan'!$J10=P$3,"I",""))))</f>
        <v/>
      </c>
      <c r="Q10" s="20" t="str">
        <f>IF('Master Plan'!$G10=Q$3,"R",IF('Master Plan'!$H10=Q$3,"A",IF('Master Plan'!$I10=Q$3,"C",IF('Master Plan'!$J10=Q$3,"I",""))))</f>
        <v>R</v>
      </c>
      <c r="R10" s="20" t="str">
        <f>IF('Master Plan'!$G10=R$3,"R",IF('Master Plan'!$H10=R$3,"A",IF('Master Plan'!$I10=R$3,"C",IF('Master Plan'!$J10=R$3,"I",""))))</f>
        <v/>
      </c>
      <c r="S10" s="20" t="str">
        <f>IF('Master Plan'!$G10=S$3,"R",IF('Master Plan'!$H10=S$3,"A",IF('Master Plan'!$I10=S$3,"C",IF('Master Plan'!$J10=S$3,"I",""))))</f>
        <v/>
      </c>
      <c r="T10" s="20" t="str">
        <f>IF('Master Plan'!$G10=T$3,"R",IF('Master Plan'!$H10=T$3,"A",IF('Master Plan'!$I10=T$3,"C",IF('Master Plan'!$J10=T$3,"I",""))))</f>
        <v>I</v>
      </c>
      <c r="U10" s="20" t="str">
        <f>IF('Master Plan'!$G10=U$3,"R",IF('Master Plan'!$H10=U$3,"A",IF('Master Plan'!$I10=U$3,"C",IF('Master Plan'!$J10=U$3,"I",""))))</f>
        <v/>
      </c>
      <c r="V10" s="20" t="str">
        <f>IF('Master Plan'!$G10=V$3,"R",IF('Master Plan'!$H10=V$3,"A",IF('Master Plan'!$I10=V$3,"C",IF('Master Plan'!$J10=V$3,"I",""))))</f>
        <v/>
      </c>
      <c r="W10" s="20" t="str">
        <f>IF('Master Plan'!$G10=W$3,"R",IF('Master Plan'!$H10=W$3,"A",IF('Master Plan'!$I10=W$3,"C",IF('Master Plan'!$J10=W$3,"I",""))))</f>
        <v/>
      </c>
      <c r="X10" s="20" t="str">
        <f>IF('Master Plan'!$G10=X$3,"R",IF('Master Plan'!$H10=X$3,"A",IF('Master Plan'!$I10=X$3,"C",IF('Master Plan'!$J10=X$3,"I",""))))</f>
        <v/>
      </c>
      <c r="Y10" s="20">
        <f t="shared" si="0"/>
        <v>1</v>
      </c>
      <c r="Z10" s="20">
        <f t="shared" si="1"/>
        <v>1</v>
      </c>
      <c r="AA10" s="20">
        <f t="shared" si="2"/>
        <v>1</v>
      </c>
      <c r="AB10" s="20">
        <f t="shared" si="3"/>
        <v>1</v>
      </c>
    </row>
    <row r="11" spans="1:28" ht="15" customHeight="1" x14ac:dyDescent="0.2">
      <c r="A11" s="35" t="str">
        <f>'Master Plan'!A11</f>
        <v>T-007</v>
      </c>
      <c r="B11" s="35" t="str">
        <f>'Master Plan'!B11</f>
        <v>1. Initiation</v>
      </c>
      <c r="C11" s="35" t="str">
        <f>'Master Plan'!E11</f>
        <v>Gate 1 Review</v>
      </c>
      <c r="D11" s="35" t="str">
        <f>'Master Plan'!N11</f>
        <v>In Progress</v>
      </c>
      <c r="E11" s="20" t="str">
        <f>IF('Master Plan'!$G11=E$3,"R",IF('Master Plan'!$H11=E$3,"A",IF('Master Plan'!$I11=E$3,"C",IF('Master Plan'!$J11=E$3,"I",""))))</f>
        <v>A</v>
      </c>
      <c r="F11" s="20" t="str">
        <f>IF('Master Plan'!$G11=F$3,"R",IF('Master Plan'!$H11=F$3,"A",IF('Master Plan'!$I11=F$3,"C",IF('Master Plan'!$J11=F$3,"I",""))))</f>
        <v>R</v>
      </c>
      <c r="G11" s="20" t="str">
        <f>IF('Master Plan'!$G11=G$3,"R",IF('Master Plan'!$H11=G$3,"A",IF('Master Plan'!$I11=G$3,"C",IF('Master Plan'!$J11=G$3,"I",""))))</f>
        <v>C</v>
      </c>
      <c r="H11" s="20" t="str">
        <f>IF('Master Plan'!$G11=H$3,"R",IF('Master Plan'!$H11=H$3,"A",IF('Master Plan'!$I11=H$3,"C",IF('Master Plan'!$J11=H$3,"I",""))))</f>
        <v/>
      </c>
      <c r="I11" s="20" t="str">
        <f>IF('Master Plan'!$G11=I$3,"R",IF('Master Plan'!$H11=I$3,"A",IF('Master Plan'!$I11=I$3,"C",IF('Master Plan'!$J11=I$3,"I",""))))</f>
        <v/>
      </c>
      <c r="J11" s="20" t="str">
        <f>IF('Master Plan'!$G11=J$3,"R",IF('Master Plan'!$H11=J$3,"A",IF('Master Plan'!$I11=J$3,"C",IF('Master Plan'!$J11=J$3,"I",""))))</f>
        <v/>
      </c>
      <c r="K11" s="20" t="str">
        <f>IF('Master Plan'!$G11=K$3,"R",IF('Master Plan'!$H11=K$3,"A",IF('Master Plan'!$I11=K$3,"C",IF('Master Plan'!$J11=K$3,"I",""))))</f>
        <v/>
      </c>
      <c r="L11" s="20" t="str">
        <f>IF('Master Plan'!$G11=L$3,"R",IF('Master Plan'!$H11=L$3,"A",IF('Master Plan'!$I11=L$3,"C",IF('Master Plan'!$J11=L$3,"I",""))))</f>
        <v/>
      </c>
      <c r="M11" s="20" t="str">
        <f>IF('Master Plan'!$G11=M$3,"R",IF('Master Plan'!$H11=M$3,"A",IF('Master Plan'!$I11=M$3,"C",IF('Master Plan'!$J11=M$3,"I",""))))</f>
        <v/>
      </c>
      <c r="N11" s="20" t="str">
        <f>IF('Master Plan'!$G11=N$3,"R",IF('Master Plan'!$H11=N$3,"A",IF('Master Plan'!$I11=N$3,"C",IF('Master Plan'!$J11=N$3,"I",""))))</f>
        <v/>
      </c>
      <c r="O11" s="20" t="str">
        <f>IF('Master Plan'!$G11=O$3,"R",IF('Master Plan'!$H11=O$3,"A",IF('Master Plan'!$I11=O$3,"C",IF('Master Plan'!$J11=O$3,"I",""))))</f>
        <v>I</v>
      </c>
      <c r="P11" s="20" t="str">
        <f>IF('Master Plan'!$G11=P$3,"R",IF('Master Plan'!$H11=P$3,"A",IF('Master Plan'!$I11=P$3,"C",IF('Master Plan'!$J11=P$3,"I",""))))</f>
        <v/>
      </c>
      <c r="Q11" s="20" t="str">
        <f>IF('Master Plan'!$G11=Q$3,"R",IF('Master Plan'!$H11=Q$3,"A",IF('Master Plan'!$I11=Q$3,"C",IF('Master Plan'!$J11=Q$3,"I",""))))</f>
        <v/>
      </c>
      <c r="R11" s="20" t="str">
        <f>IF('Master Plan'!$G11=R$3,"R",IF('Master Plan'!$H11=R$3,"A",IF('Master Plan'!$I11=R$3,"C",IF('Master Plan'!$J11=R$3,"I",""))))</f>
        <v/>
      </c>
      <c r="S11" s="20" t="str">
        <f>IF('Master Plan'!$G11=S$3,"R",IF('Master Plan'!$H11=S$3,"A",IF('Master Plan'!$I11=S$3,"C",IF('Master Plan'!$J11=S$3,"I",""))))</f>
        <v/>
      </c>
      <c r="T11" s="20" t="str">
        <f>IF('Master Plan'!$G11=T$3,"R",IF('Master Plan'!$H11=T$3,"A",IF('Master Plan'!$I11=T$3,"C",IF('Master Plan'!$J11=T$3,"I",""))))</f>
        <v/>
      </c>
      <c r="U11" s="20" t="str">
        <f>IF('Master Plan'!$G11=U$3,"R",IF('Master Plan'!$H11=U$3,"A",IF('Master Plan'!$I11=U$3,"C",IF('Master Plan'!$J11=U$3,"I",""))))</f>
        <v/>
      </c>
      <c r="V11" s="20" t="str">
        <f>IF('Master Plan'!$G11=V$3,"R",IF('Master Plan'!$H11=V$3,"A",IF('Master Plan'!$I11=V$3,"C",IF('Master Plan'!$J11=V$3,"I",""))))</f>
        <v/>
      </c>
      <c r="W11" s="20" t="str">
        <f>IF('Master Plan'!$G11=W$3,"R",IF('Master Plan'!$H11=W$3,"A",IF('Master Plan'!$I11=W$3,"C",IF('Master Plan'!$J11=W$3,"I",""))))</f>
        <v/>
      </c>
      <c r="X11" s="20" t="str">
        <f>IF('Master Plan'!$G11=X$3,"R",IF('Master Plan'!$H11=X$3,"A",IF('Master Plan'!$I11=X$3,"C",IF('Master Plan'!$J11=X$3,"I",""))))</f>
        <v/>
      </c>
      <c r="Y11" s="20">
        <f t="shared" si="0"/>
        <v>1</v>
      </c>
      <c r="Z11" s="20">
        <f t="shared" si="1"/>
        <v>1</v>
      </c>
      <c r="AA11" s="20">
        <f t="shared" si="2"/>
        <v>1</v>
      </c>
      <c r="AB11" s="20">
        <f t="shared" si="3"/>
        <v>1</v>
      </c>
    </row>
    <row r="12" spans="1:28" ht="15" customHeight="1" x14ac:dyDescent="0.2">
      <c r="A12" s="35" t="str">
        <f>'Master Plan'!A12</f>
        <v>T-008</v>
      </c>
      <c r="B12" s="35" t="str">
        <f>'Master Plan'!B12</f>
        <v>2. Planning &amp; Design</v>
      </c>
      <c r="C12" s="35" t="str">
        <f>'Master Plan'!E12</f>
        <v>Integrated Master Plan</v>
      </c>
      <c r="D12" s="35" t="str">
        <f>'Master Plan'!N12</f>
        <v>In Progress</v>
      </c>
      <c r="E12" s="20" t="str">
        <f>IF('Master Plan'!$G12=E$3,"R",IF('Master Plan'!$H12=E$3,"A",IF('Master Plan'!$I12=E$3,"C",IF('Master Plan'!$J12=E$3,"I",""))))</f>
        <v>A</v>
      </c>
      <c r="F12" s="20" t="str">
        <f>IF('Master Plan'!$G12=F$3,"R",IF('Master Plan'!$H12=F$3,"A",IF('Master Plan'!$I12=F$3,"C",IF('Master Plan'!$J12=F$3,"I",""))))</f>
        <v>R</v>
      </c>
      <c r="G12" s="20" t="str">
        <f>IF('Master Plan'!$G12=G$3,"R",IF('Master Plan'!$H12=G$3,"A",IF('Master Plan'!$I12=G$3,"C",IF('Master Plan'!$J12=G$3,"I",""))))</f>
        <v/>
      </c>
      <c r="H12" s="20" t="str">
        <f>IF('Master Plan'!$G12=H$3,"R",IF('Master Plan'!$H12=H$3,"A",IF('Master Plan'!$I12=H$3,"C",IF('Master Plan'!$J12=H$3,"I",""))))</f>
        <v/>
      </c>
      <c r="I12" s="20" t="str">
        <f>IF('Master Plan'!$G12=I$3,"R",IF('Master Plan'!$H12=I$3,"A",IF('Master Plan'!$I12=I$3,"C",IF('Master Plan'!$J12=I$3,"I",""))))</f>
        <v>C</v>
      </c>
      <c r="J12" s="20" t="str">
        <f>IF('Master Plan'!$G12=J$3,"R",IF('Master Plan'!$H12=J$3,"A",IF('Master Plan'!$I12=J$3,"C",IF('Master Plan'!$J12=J$3,"I",""))))</f>
        <v/>
      </c>
      <c r="K12" s="20" t="str">
        <f>IF('Master Plan'!$G12=K$3,"R",IF('Master Plan'!$H12=K$3,"A",IF('Master Plan'!$I12=K$3,"C",IF('Master Plan'!$J12=K$3,"I",""))))</f>
        <v/>
      </c>
      <c r="L12" s="20" t="str">
        <f>IF('Master Plan'!$G12=L$3,"R",IF('Master Plan'!$H12=L$3,"A",IF('Master Plan'!$I12=L$3,"C",IF('Master Plan'!$J12=L$3,"I",""))))</f>
        <v/>
      </c>
      <c r="M12" s="20" t="str">
        <f>IF('Master Plan'!$G12=M$3,"R",IF('Master Plan'!$H12=M$3,"A",IF('Master Plan'!$I12=M$3,"C",IF('Master Plan'!$J12=M$3,"I",""))))</f>
        <v/>
      </c>
      <c r="N12" s="20" t="str">
        <f>IF('Master Plan'!$G12=N$3,"R",IF('Master Plan'!$H12=N$3,"A",IF('Master Plan'!$I12=N$3,"C",IF('Master Plan'!$J12=N$3,"I",""))))</f>
        <v/>
      </c>
      <c r="O12" s="20" t="str">
        <f>IF('Master Plan'!$G12=O$3,"R",IF('Master Plan'!$H12=O$3,"A",IF('Master Plan'!$I12=O$3,"C",IF('Master Plan'!$J12=O$3,"I",""))))</f>
        <v>I</v>
      </c>
      <c r="P12" s="20" t="str">
        <f>IF('Master Plan'!$G12=P$3,"R",IF('Master Plan'!$H12=P$3,"A",IF('Master Plan'!$I12=P$3,"C",IF('Master Plan'!$J12=P$3,"I",""))))</f>
        <v/>
      </c>
      <c r="Q12" s="20" t="str">
        <f>IF('Master Plan'!$G12=Q$3,"R",IF('Master Plan'!$H12=Q$3,"A",IF('Master Plan'!$I12=Q$3,"C",IF('Master Plan'!$J12=Q$3,"I",""))))</f>
        <v/>
      </c>
      <c r="R12" s="20" t="str">
        <f>IF('Master Plan'!$G12=R$3,"R",IF('Master Plan'!$H12=R$3,"A",IF('Master Plan'!$I12=R$3,"C",IF('Master Plan'!$J12=R$3,"I",""))))</f>
        <v/>
      </c>
      <c r="S12" s="20" t="str">
        <f>IF('Master Plan'!$G12=S$3,"R",IF('Master Plan'!$H12=S$3,"A",IF('Master Plan'!$I12=S$3,"C",IF('Master Plan'!$J12=S$3,"I",""))))</f>
        <v/>
      </c>
      <c r="T12" s="20" t="str">
        <f>IF('Master Plan'!$G12=T$3,"R",IF('Master Plan'!$H12=T$3,"A",IF('Master Plan'!$I12=T$3,"C",IF('Master Plan'!$J12=T$3,"I",""))))</f>
        <v/>
      </c>
      <c r="U12" s="20" t="str">
        <f>IF('Master Plan'!$G12=U$3,"R",IF('Master Plan'!$H12=U$3,"A",IF('Master Plan'!$I12=U$3,"C",IF('Master Plan'!$J12=U$3,"I",""))))</f>
        <v/>
      </c>
      <c r="V12" s="20" t="str">
        <f>IF('Master Plan'!$G12=V$3,"R",IF('Master Plan'!$H12=V$3,"A",IF('Master Plan'!$I12=V$3,"C",IF('Master Plan'!$J12=V$3,"I",""))))</f>
        <v/>
      </c>
      <c r="W12" s="20" t="str">
        <f>IF('Master Plan'!$G12=W$3,"R",IF('Master Plan'!$H12=W$3,"A",IF('Master Plan'!$I12=W$3,"C",IF('Master Plan'!$J12=W$3,"I",""))))</f>
        <v/>
      </c>
      <c r="X12" s="20" t="str">
        <f>IF('Master Plan'!$G12=X$3,"R",IF('Master Plan'!$H12=X$3,"A",IF('Master Plan'!$I12=X$3,"C",IF('Master Plan'!$J12=X$3,"I",""))))</f>
        <v/>
      </c>
      <c r="Y12" s="20">
        <f t="shared" si="0"/>
        <v>1</v>
      </c>
      <c r="Z12" s="20">
        <f t="shared" si="1"/>
        <v>1</v>
      </c>
      <c r="AA12" s="20">
        <f t="shared" si="2"/>
        <v>1</v>
      </c>
      <c r="AB12" s="20">
        <f t="shared" si="3"/>
        <v>1</v>
      </c>
    </row>
    <row r="13" spans="1:28" ht="15" customHeight="1" x14ac:dyDescent="0.2">
      <c r="A13" s="35" t="str">
        <f>'Master Plan'!A13</f>
        <v>T-009</v>
      </c>
      <c r="B13" s="35" t="str">
        <f>'Master Plan'!B13</f>
        <v>2. Planning &amp; Design</v>
      </c>
      <c r="C13" s="35" t="str">
        <f>'Master Plan'!E13</f>
        <v>RAID Baseline</v>
      </c>
      <c r="D13" s="35" t="str">
        <f>'Master Plan'!N13</f>
        <v>Not Started</v>
      </c>
      <c r="E13" s="20" t="str">
        <f>IF('Master Plan'!$G13=E$3,"R",IF('Master Plan'!$H13=E$3,"A",IF('Master Plan'!$I13=E$3,"C",IF('Master Plan'!$J13=E$3,"I",""))))</f>
        <v>I</v>
      </c>
      <c r="F13" s="20" t="str">
        <f>IF('Master Plan'!$G13=F$3,"R",IF('Master Plan'!$H13=F$3,"A",IF('Master Plan'!$I13=F$3,"C",IF('Master Plan'!$J13=F$3,"I",""))))</f>
        <v>R</v>
      </c>
      <c r="G13" s="20" t="str">
        <f>IF('Master Plan'!$G13=G$3,"R",IF('Master Plan'!$H13=G$3,"A",IF('Master Plan'!$I13=G$3,"C",IF('Master Plan'!$J13=G$3,"I",""))))</f>
        <v/>
      </c>
      <c r="H13" s="20" t="str">
        <f>IF('Master Plan'!$G13=H$3,"R",IF('Master Plan'!$H13=H$3,"A",IF('Master Plan'!$I13=H$3,"C",IF('Master Plan'!$J13=H$3,"I",""))))</f>
        <v/>
      </c>
      <c r="I13" s="20" t="str">
        <f>IF('Master Plan'!$G13=I$3,"R",IF('Master Plan'!$H13=I$3,"A",IF('Master Plan'!$I13=I$3,"C",IF('Master Plan'!$J13=I$3,"I",""))))</f>
        <v>C</v>
      </c>
      <c r="J13" s="20" t="str">
        <f>IF('Master Plan'!$G13=J$3,"R",IF('Master Plan'!$H13=J$3,"A",IF('Master Plan'!$I13=J$3,"C",IF('Master Plan'!$J13=J$3,"I",""))))</f>
        <v/>
      </c>
      <c r="K13" s="20" t="str">
        <f>IF('Master Plan'!$G13=K$3,"R",IF('Master Plan'!$H13=K$3,"A",IF('Master Plan'!$I13=K$3,"C",IF('Master Plan'!$J13=K$3,"I",""))))</f>
        <v/>
      </c>
      <c r="L13" s="20" t="str">
        <f>IF('Master Plan'!$G13=L$3,"R",IF('Master Plan'!$H13=L$3,"A",IF('Master Plan'!$I13=L$3,"C",IF('Master Plan'!$J13=L$3,"I",""))))</f>
        <v/>
      </c>
      <c r="M13" s="20" t="str">
        <f>IF('Master Plan'!$G13=M$3,"R",IF('Master Plan'!$H13=M$3,"A",IF('Master Plan'!$I13=M$3,"C",IF('Master Plan'!$J13=M$3,"I",""))))</f>
        <v/>
      </c>
      <c r="N13" s="20" t="str">
        <f>IF('Master Plan'!$G13=N$3,"R",IF('Master Plan'!$H13=N$3,"A",IF('Master Plan'!$I13=N$3,"C",IF('Master Plan'!$J13=N$3,"I",""))))</f>
        <v/>
      </c>
      <c r="O13" s="20" t="str">
        <f>IF('Master Plan'!$G13=O$3,"R",IF('Master Plan'!$H13=O$3,"A",IF('Master Plan'!$I13=O$3,"C",IF('Master Plan'!$J13=O$3,"I",""))))</f>
        <v/>
      </c>
      <c r="P13" s="20" t="str">
        <f>IF('Master Plan'!$G13=P$3,"R",IF('Master Plan'!$H13=P$3,"A",IF('Master Plan'!$I13=P$3,"C",IF('Master Plan'!$J13=P$3,"I",""))))</f>
        <v/>
      </c>
      <c r="Q13" s="20" t="str">
        <f>IF('Master Plan'!$G13=Q$3,"R",IF('Master Plan'!$H13=Q$3,"A",IF('Master Plan'!$I13=Q$3,"C",IF('Master Plan'!$J13=Q$3,"I",""))))</f>
        <v/>
      </c>
      <c r="R13" s="20" t="str">
        <f>IF('Master Plan'!$G13=R$3,"R",IF('Master Plan'!$H13=R$3,"A",IF('Master Plan'!$I13=R$3,"C",IF('Master Plan'!$J13=R$3,"I",""))))</f>
        <v/>
      </c>
      <c r="S13" s="20" t="str">
        <f>IF('Master Plan'!$G13=S$3,"R",IF('Master Plan'!$H13=S$3,"A",IF('Master Plan'!$I13=S$3,"C",IF('Master Plan'!$J13=S$3,"I",""))))</f>
        <v/>
      </c>
      <c r="T13" s="20" t="str">
        <f>IF('Master Plan'!$G13=T$3,"R",IF('Master Plan'!$H13=T$3,"A",IF('Master Plan'!$I13=T$3,"C",IF('Master Plan'!$J13=T$3,"I",""))))</f>
        <v/>
      </c>
      <c r="U13" s="20" t="str">
        <f>IF('Master Plan'!$G13=U$3,"R",IF('Master Plan'!$H13=U$3,"A",IF('Master Plan'!$I13=U$3,"C",IF('Master Plan'!$J13=U$3,"I",""))))</f>
        <v/>
      </c>
      <c r="V13" s="20" t="str">
        <f>IF('Master Plan'!$G13=V$3,"R",IF('Master Plan'!$H13=V$3,"A",IF('Master Plan'!$I13=V$3,"C",IF('Master Plan'!$J13=V$3,"I",""))))</f>
        <v/>
      </c>
      <c r="W13" s="20" t="str">
        <f>IF('Master Plan'!$G13=W$3,"R",IF('Master Plan'!$H13=W$3,"A",IF('Master Plan'!$I13=W$3,"C",IF('Master Plan'!$J13=W$3,"I",""))))</f>
        <v/>
      </c>
      <c r="X13" s="20" t="str">
        <f>IF('Master Plan'!$G13=X$3,"R",IF('Master Plan'!$H13=X$3,"A",IF('Master Plan'!$I13=X$3,"C",IF('Master Plan'!$J13=X$3,"I",""))))</f>
        <v/>
      </c>
      <c r="Y13" s="20">
        <f t="shared" si="0"/>
        <v>1</v>
      </c>
      <c r="Z13" s="20">
        <f t="shared" si="1"/>
        <v>0</v>
      </c>
      <c r="AA13" s="20">
        <f t="shared" si="2"/>
        <v>1</v>
      </c>
      <c r="AB13" s="20">
        <f t="shared" si="3"/>
        <v>1</v>
      </c>
    </row>
    <row r="14" spans="1:28" ht="15" customHeight="1" x14ac:dyDescent="0.2">
      <c r="A14" s="35" t="str">
        <f>'Master Plan'!A14</f>
        <v>T-010</v>
      </c>
      <c r="B14" s="35" t="str">
        <f>'Master Plan'!B14</f>
        <v>2. Planning &amp; Design</v>
      </c>
      <c r="C14" s="35" t="str">
        <f>'Master Plan'!E14</f>
        <v>Facility Design</v>
      </c>
      <c r="D14" s="35" t="str">
        <f>'Master Plan'!N14</f>
        <v>Not Started</v>
      </c>
      <c r="E14" s="20" t="str">
        <f>IF('Master Plan'!$G14=E$3,"R",IF('Master Plan'!$H14=E$3,"A",IF('Master Plan'!$I14=E$3,"C",IF('Master Plan'!$J14=E$3,"I",""))))</f>
        <v/>
      </c>
      <c r="F14" s="20" t="str">
        <f>IF('Master Plan'!$G14=F$3,"R",IF('Master Plan'!$H14=F$3,"A",IF('Master Plan'!$I14=F$3,"C",IF('Master Plan'!$J14=F$3,"I",""))))</f>
        <v/>
      </c>
      <c r="G14" s="20" t="str">
        <f>IF('Master Plan'!$G14=G$3,"R",IF('Master Plan'!$H14=G$3,"A",IF('Master Plan'!$I14=G$3,"C",IF('Master Plan'!$J14=G$3,"I",""))))</f>
        <v/>
      </c>
      <c r="H14" s="20" t="str">
        <f>IF('Master Plan'!$G14=H$3,"R",IF('Master Plan'!$H14=H$3,"A",IF('Master Plan'!$I14=H$3,"C",IF('Master Plan'!$J14=H$3,"I",""))))</f>
        <v>R</v>
      </c>
      <c r="I14" s="20" t="str">
        <f>IF('Master Plan'!$G14=I$3,"R",IF('Master Plan'!$H14=I$3,"A",IF('Master Plan'!$I14=I$3,"C",IF('Master Plan'!$J14=I$3,"I",""))))</f>
        <v/>
      </c>
      <c r="J14" s="20" t="str">
        <f>IF('Master Plan'!$G14=J$3,"R",IF('Master Plan'!$H14=J$3,"A",IF('Master Plan'!$I14=J$3,"C",IF('Master Plan'!$J14=J$3,"I",""))))</f>
        <v/>
      </c>
      <c r="K14" s="20" t="str">
        <f>IF('Master Plan'!$G14=K$3,"R",IF('Master Plan'!$H14=K$3,"A",IF('Master Plan'!$I14=K$3,"C",IF('Master Plan'!$J14=K$3,"I",""))))</f>
        <v>C</v>
      </c>
      <c r="L14" s="20" t="str">
        <f>IF('Master Plan'!$G14=L$3,"R",IF('Master Plan'!$H14=L$3,"A",IF('Master Plan'!$I14=L$3,"C",IF('Master Plan'!$J14=L$3,"I",""))))</f>
        <v/>
      </c>
      <c r="M14" s="20" t="str">
        <f>IF('Master Plan'!$G14=M$3,"R",IF('Master Plan'!$H14=M$3,"A",IF('Master Plan'!$I14=M$3,"C",IF('Master Plan'!$J14=M$3,"I",""))))</f>
        <v/>
      </c>
      <c r="N14" s="20" t="str">
        <f>IF('Master Plan'!$G14=N$3,"R",IF('Master Plan'!$H14=N$3,"A",IF('Master Plan'!$I14=N$3,"C",IF('Master Plan'!$J14=N$3,"I",""))))</f>
        <v/>
      </c>
      <c r="O14" s="20" t="str">
        <f>IF('Master Plan'!$G14=O$3,"R",IF('Master Plan'!$H14=O$3,"A",IF('Master Plan'!$I14=O$3,"C",IF('Master Plan'!$J14=O$3,"I",""))))</f>
        <v>I</v>
      </c>
      <c r="P14" s="20" t="str">
        <f>IF('Master Plan'!$G14=P$3,"R",IF('Master Plan'!$H14=P$3,"A",IF('Master Plan'!$I14=P$3,"C",IF('Master Plan'!$J14=P$3,"I",""))))</f>
        <v/>
      </c>
      <c r="Q14" s="20" t="str">
        <f>IF('Master Plan'!$G14=Q$3,"R",IF('Master Plan'!$H14=Q$3,"A",IF('Master Plan'!$I14=Q$3,"C",IF('Master Plan'!$J14=Q$3,"I",""))))</f>
        <v/>
      </c>
      <c r="R14" s="20" t="str">
        <f>IF('Master Plan'!$G14=R$3,"R",IF('Master Plan'!$H14=R$3,"A",IF('Master Plan'!$I14=R$3,"C",IF('Master Plan'!$J14=R$3,"I",""))))</f>
        <v/>
      </c>
      <c r="S14" s="20" t="str">
        <f>IF('Master Plan'!$G14=S$3,"R",IF('Master Plan'!$H14=S$3,"A",IF('Master Plan'!$I14=S$3,"C",IF('Master Plan'!$J14=S$3,"I",""))))</f>
        <v/>
      </c>
      <c r="T14" s="20" t="str">
        <f>IF('Master Plan'!$G14=T$3,"R",IF('Master Plan'!$H14=T$3,"A",IF('Master Plan'!$I14=T$3,"C",IF('Master Plan'!$J14=T$3,"I",""))))</f>
        <v/>
      </c>
      <c r="U14" s="20" t="str">
        <f>IF('Master Plan'!$G14=U$3,"R",IF('Master Plan'!$H14=U$3,"A",IF('Master Plan'!$I14=U$3,"C",IF('Master Plan'!$J14=U$3,"I",""))))</f>
        <v/>
      </c>
      <c r="V14" s="20" t="str">
        <f>IF('Master Plan'!$G14=V$3,"R",IF('Master Plan'!$H14=V$3,"A",IF('Master Plan'!$I14=V$3,"C",IF('Master Plan'!$J14=V$3,"I",""))))</f>
        <v/>
      </c>
      <c r="W14" s="20" t="str">
        <f>IF('Master Plan'!$G14=W$3,"R",IF('Master Plan'!$H14=W$3,"A",IF('Master Plan'!$I14=W$3,"C",IF('Master Plan'!$J14=W$3,"I",""))))</f>
        <v/>
      </c>
      <c r="X14" s="20" t="str">
        <f>IF('Master Plan'!$G14=X$3,"R",IF('Master Plan'!$H14=X$3,"A",IF('Master Plan'!$I14=X$3,"C",IF('Master Plan'!$J14=X$3,"I",""))))</f>
        <v/>
      </c>
      <c r="Y14" s="20">
        <f t="shared" si="0"/>
        <v>1</v>
      </c>
      <c r="Z14" s="20">
        <f t="shared" si="1"/>
        <v>0</v>
      </c>
      <c r="AA14" s="20">
        <f t="shared" si="2"/>
        <v>1</v>
      </c>
      <c r="AB14" s="20">
        <f t="shared" si="3"/>
        <v>1</v>
      </c>
    </row>
    <row r="15" spans="1:28" ht="15" customHeight="1" x14ac:dyDescent="0.2">
      <c r="A15" s="35" t="str">
        <f>'Master Plan'!A15</f>
        <v>T-011</v>
      </c>
      <c r="B15" s="35" t="str">
        <f>'Master Plan'!B15</f>
        <v>2. Planning &amp; Design</v>
      </c>
      <c r="C15" s="35" t="str">
        <f>'Master Plan'!E15</f>
        <v>Permits</v>
      </c>
      <c r="D15" s="35" t="str">
        <f>'Master Plan'!N15</f>
        <v>Not Started</v>
      </c>
      <c r="E15" s="20" t="str">
        <f>IF('Master Plan'!$G15=E$3,"R",IF('Master Plan'!$H15=E$3,"A",IF('Master Plan'!$I15=E$3,"C",IF('Master Plan'!$J15=E$3,"I",""))))</f>
        <v/>
      </c>
      <c r="F15" s="20" t="str">
        <f>IF('Master Plan'!$G15=F$3,"R",IF('Master Plan'!$H15=F$3,"A",IF('Master Plan'!$I15=F$3,"C",IF('Master Plan'!$J15=F$3,"I",""))))</f>
        <v>I</v>
      </c>
      <c r="G15" s="20" t="str">
        <f>IF('Master Plan'!$G15=G$3,"R",IF('Master Plan'!$H15=G$3,"A",IF('Master Plan'!$I15=G$3,"C",IF('Master Plan'!$J15=G$3,"I",""))))</f>
        <v/>
      </c>
      <c r="H15" s="20" t="str">
        <f>IF('Master Plan'!$G15=H$3,"R",IF('Master Plan'!$H15=H$3,"A",IF('Master Plan'!$I15=H$3,"C",IF('Master Plan'!$J15=H$3,"I",""))))</f>
        <v>R</v>
      </c>
      <c r="I15" s="20" t="str">
        <f>IF('Master Plan'!$G15=I$3,"R",IF('Master Plan'!$H15=I$3,"A",IF('Master Plan'!$I15=I$3,"C",IF('Master Plan'!$J15=I$3,"I",""))))</f>
        <v/>
      </c>
      <c r="J15" s="20" t="str">
        <f>IF('Master Plan'!$G15=J$3,"R",IF('Master Plan'!$H15=J$3,"A",IF('Master Plan'!$I15=J$3,"C",IF('Master Plan'!$J15=J$3,"I",""))))</f>
        <v/>
      </c>
      <c r="K15" s="20" t="str">
        <f>IF('Master Plan'!$G15=K$3,"R",IF('Master Plan'!$H15=K$3,"A",IF('Master Plan'!$I15=K$3,"C",IF('Master Plan'!$J15=K$3,"I",""))))</f>
        <v/>
      </c>
      <c r="L15" s="20" t="str">
        <f>IF('Master Plan'!$G15=L$3,"R",IF('Master Plan'!$H15=L$3,"A",IF('Master Plan'!$I15=L$3,"C",IF('Master Plan'!$J15=L$3,"I",""))))</f>
        <v/>
      </c>
      <c r="M15" s="20" t="str">
        <f>IF('Master Plan'!$G15=M$3,"R",IF('Master Plan'!$H15=M$3,"A",IF('Master Plan'!$I15=M$3,"C",IF('Master Plan'!$J15=M$3,"I",""))))</f>
        <v/>
      </c>
      <c r="N15" s="20" t="str">
        <f>IF('Master Plan'!$G15=N$3,"R",IF('Master Plan'!$H15=N$3,"A",IF('Master Plan'!$I15=N$3,"C",IF('Master Plan'!$J15=N$3,"I",""))))</f>
        <v/>
      </c>
      <c r="O15" s="20" t="str">
        <f>IF('Master Plan'!$G15=O$3,"R",IF('Master Plan'!$H15=O$3,"A",IF('Master Plan'!$I15=O$3,"C",IF('Master Plan'!$J15=O$3,"I",""))))</f>
        <v/>
      </c>
      <c r="P15" s="20" t="str">
        <f>IF('Master Plan'!$G15=P$3,"R",IF('Master Plan'!$H15=P$3,"A",IF('Master Plan'!$I15=P$3,"C",IF('Master Plan'!$J15=P$3,"I",""))))</f>
        <v/>
      </c>
      <c r="Q15" s="20" t="str">
        <f>IF('Master Plan'!$G15=Q$3,"R",IF('Master Plan'!$H15=Q$3,"A",IF('Master Plan'!$I15=Q$3,"C",IF('Master Plan'!$J15=Q$3,"I",""))))</f>
        <v/>
      </c>
      <c r="R15" s="20" t="str">
        <f>IF('Master Plan'!$G15=R$3,"R",IF('Master Plan'!$H15=R$3,"A",IF('Master Plan'!$I15=R$3,"C",IF('Master Plan'!$J15=R$3,"I",""))))</f>
        <v/>
      </c>
      <c r="S15" s="20" t="str">
        <f>IF('Master Plan'!$G15=S$3,"R",IF('Master Plan'!$H15=S$3,"A",IF('Master Plan'!$I15=S$3,"C",IF('Master Plan'!$J15=S$3,"I",""))))</f>
        <v>C</v>
      </c>
      <c r="T15" s="20" t="str">
        <f>IF('Master Plan'!$G15=T$3,"R",IF('Master Plan'!$H15=T$3,"A",IF('Master Plan'!$I15=T$3,"C",IF('Master Plan'!$J15=T$3,"I",""))))</f>
        <v/>
      </c>
      <c r="U15" s="20" t="str">
        <f>IF('Master Plan'!$G15=U$3,"R",IF('Master Plan'!$H15=U$3,"A",IF('Master Plan'!$I15=U$3,"C",IF('Master Plan'!$J15=U$3,"I",""))))</f>
        <v/>
      </c>
      <c r="V15" s="20" t="str">
        <f>IF('Master Plan'!$G15=V$3,"R",IF('Master Plan'!$H15=V$3,"A",IF('Master Plan'!$I15=V$3,"C",IF('Master Plan'!$J15=V$3,"I",""))))</f>
        <v/>
      </c>
      <c r="W15" s="20" t="str">
        <f>IF('Master Plan'!$G15=W$3,"R",IF('Master Plan'!$H15=W$3,"A",IF('Master Plan'!$I15=W$3,"C",IF('Master Plan'!$J15=W$3,"I",""))))</f>
        <v/>
      </c>
      <c r="X15" s="20" t="str">
        <f>IF('Master Plan'!$G15=X$3,"R",IF('Master Plan'!$H15=X$3,"A",IF('Master Plan'!$I15=X$3,"C",IF('Master Plan'!$J15=X$3,"I",""))))</f>
        <v/>
      </c>
      <c r="Y15" s="20">
        <f t="shared" si="0"/>
        <v>1</v>
      </c>
      <c r="Z15" s="20">
        <f t="shared" si="1"/>
        <v>0</v>
      </c>
      <c r="AA15" s="20">
        <f t="shared" si="2"/>
        <v>1</v>
      </c>
      <c r="AB15" s="20">
        <f t="shared" si="3"/>
        <v>1</v>
      </c>
    </row>
    <row r="16" spans="1:28" ht="15" customHeight="1" x14ac:dyDescent="0.2">
      <c r="A16" s="35" t="str">
        <f>'Master Plan'!A16</f>
        <v>T-012</v>
      </c>
      <c r="B16" s="35" t="str">
        <f>'Master Plan'!B16</f>
        <v>2. Planning &amp; Design</v>
      </c>
      <c r="C16" s="35" t="str">
        <f>'Master Plan'!E16</f>
        <v>Process Design</v>
      </c>
      <c r="D16" s="35" t="str">
        <f>'Master Plan'!N16</f>
        <v>Not Started</v>
      </c>
      <c r="E16" s="20" t="str">
        <f>IF('Master Plan'!$G16=E$3,"R",IF('Master Plan'!$H16=E$3,"A",IF('Master Plan'!$I16=E$3,"C",IF('Master Plan'!$J16=E$3,"I",""))))</f>
        <v/>
      </c>
      <c r="F16" s="20" t="str">
        <f>IF('Master Plan'!$G16=F$3,"R",IF('Master Plan'!$H16=F$3,"A",IF('Master Plan'!$I16=F$3,"C",IF('Master Plan'!$J16=F$3,"I",""))))</f>
        <v/>
      </c>
      <c r="G16" s="20" t="str">
        <f>IF('Master Plan'!$G16=G$3,"R",IF('Master Plan'!$H16=G$3,"A",IF('Master Plan'!$I16=G$3,"C",IF('Master Plan'!$J16=G$3,"I",""))))</f>
        <v/>
      </c>
      <c r="H16" s="20" t="str">
        <f>IF('Master Plan'!$G16=H$3,"R",IF('Master Plan'!$H16=H$3,"A",IF('Master Plan'!$I16=H$3,"C",IF('Master Plan'!$J16=H$3,"I",""))))</f>
        <v/>
      </c>
      <c r="I16" s="20" t="str">
        <f>IF('Master Plan'!$G16=I$3,"R",IF('Master Plan'!$H16=I$3,"A",IF('Master Plan'!$I16=I$3,"C",IF('Master Plan'!$J16=I$3,"I",""))))</f>
        <v>C</v>
      </c>
      <c r="J16" s="20" t="str">
        <f>IF('Master Plan'!$G16=J$3,"R",IF('Master Plan'!$H16=J$3,"A",IF('Master Plan'!$I16=J$3,"C",IF('Master Plan'!$J16=J$3,"I",""))))</f>
        <v/>
      </c>
      <c r="K16" s="20" t="str">
        <f>IF('Master Plan'!$G16=K$3,"R",IF('Master Plan'!$H16=K$3,"A",IF('Master Plan'!$I16=K$3,"C",IF('Master Plan'!$J16=K$3,"I",""))))</f>
        <v/>
      </c>
      <c r="L16" s="20" t="str">
        <f>IF('Master Plan'!$G16=L$3,"R",IF('Master Plan'!$H16=L$3,"A",IF('Master Plan'!$I16=L$3,"C",IF('Master Plan'!$J16=L$3,"I",""))))</f>
        <v/>
      </c>
      <c r="M16" s="20" t="str">
        <f>IF('Master Plan'!$G16=M$3,"R",IF('Master Plan'!$H16=M$3,"A",IF('Master Plan'!$I16=M$3,"C",IF('Master Plan'!$J16=M$3,"I",""))))</f>
        <v/>
      </c>
      <c r="N16" s="20" t="str">
        <f>IF('Master Plan'!$G16=N$3,"R",IF('Master Plan'!$H16=N$3,"A",IF('Master Plan'!$I16=N$3,"C",IF('Master Plan'!$J16=N$3,"I",""))))</f>
        <v/>
      </c>
      <c r="O16" s="20" t="str">
        <f>IF('Master Plan'!$G16=O$3,"R",IF('Master Plan'!$H16=O$3,"A",IF('Master Plan'!$I16=O$3,"C",IF('Master Plan'!$J16=O$3,"I",""))))</f>
        <v>R</v>
      </c>
      <c r="P16" s="20" t="str">
        <f>IF('Master Plan'!$G16=P$3,"R",IF('Master Plan'!$H16=P$3,"A",IF('Master Plan'!$I16=P$3,"C",IF('Master Plan'!$J16=P$3,"I",""))))</f>
        <v/>
      </c>
      <c r="Q16" s="20" t="str">
        <f>IF('Master Plan'!$G16=Q$3,"R",IF('Master Plan'!$H16=Q$3,"A",IF('Master Plan'!$I16=Q$3,"C",IF('Master Plan'!$J16=Q$3,"I",""))))</f>
        <v/>
      </c>
      <c r="R16" s="20" t="str">
        <f>IF('Master Plan'!$G16=R$3,"R",IF('Master Plan'!$H16=R$3,"A",IF('Master Plan'!$I16=R$3,"C",IF('Master Plan'!$J16=R$3,"I",""))))</f>
        <v/>
      </c>
      <c r="S16" s="20" t="str">
        <f>IF('Master Plan'!$G16=S$3,"R",IF('Master Plan'!$H16=S$3,"A",IF('Master Plan'!$I16=S$3,"C",IF('Master Plan'!$J16=S$3,"I",""))))</f>
        <v/>
      </c>
      <c r="T16" s="20" t="str">
        <f>IF('Master Plan'!$G16=T$3,"R",IF('Master Plan'!$H16=T$3,"A",IF('Master Plan'!$I16=T$3,"C",IF('Master Plan'!$J16=T$3,"I",""))))</f>
        <v/>
      </c>
      <c r="U16" s="20" t="str">
        <f>IF('Master Plan'!$G16=U$3,"R",IF('Master Plan'!$H16=U$3,"A",IF('Master Plan'!$I16=U$3,"C",IF('Master Plan'!$J16=U$3,"I",""))))</f>
        <v>I</v>
      </c>
      <c r="V16" s="20" t="str">
        <f>IF('Master Plan'!$G16=V$3,"R",IF('Master Plan'!$H16=V$3,"A",IF('Master Plan'!$I16=V$3,"C",IF('Master Plan'!$J16=V$3,"I",""))))</f>
        <v/>
      </c>
      <c r="W16" s="20" t="str">
        <f>IF('Master Plan'!$G16=W$3,"R",IF('Master Plan'!$H16=W$3,"A",IF('Master Plan'!$I16=W$3,"C",IF('Master Plan'!$J16=W$3,"I",""))))</f>
        <v/>
      </c>
      <c r="X16" s="20" t="str">
        <f>IF('Master Plan'!$G16=X$3,"R",IF('Master Plan'!$H16=X$3,"A",IF('Master Plan'!$I16=X$3,"C",IF('Master Plan'!$J16=X$3,"I",""))))</f>
        <v/>
      </c>
      <c r="Y16" s="20">
        <f t="shared" si="0"/>
        <v>1</v>
      </c>
      <c r="Z16" s="20">
        <f t="shared" si="1"/>
        <v>0</v>
      </c>
      <c r="AA16" s="20">
        <f t="shared" si="2"/>
        <v>1</v>
      </c>
      <c r="AB16" s="20">
        <f t="shared" si="3"/>
        <v>1</v>
      </c>
    </row>
    <row r="17" spans="1:28" ht="15" customHeight="1" x14ac:dyDescent="0.2">
      <c r="A17" s="35" t="str">
        <f>'Master Plan'!A17</f>
        <v>T-013</v>
      </c>
      <c r="B17" s="35" t="str">
        <f>'Master Plan'!B17</f>
        <v>2. Planning &amp; Design</v>
      </c>
      <c r="C17" s="35" t="str">
        <f>'Master Plan'!E17</f>
        <v>WMS Functional Design</v>
      </c>
      <c r="D17" s="35" t="str">
        <f>'Master Plan'!N17</f>
        <v>Not Started</v>
      </c>
      <c r="E17" s="20" t="str">
        <f>IF('Master Plan'!$G17=E$3,"R",IF('Master Plan'!$H17=E$3,"A",IF('Master Plan'!$I17=E$3,"C",IF('Master Plan'!$J17=E$3,"I",""))))</f>
        <v/>
      </c>
      <c r="F17" s="20" t="str">
        <f>IF('Master Plan'!$G17=F$3,"R",IF('Master Plan'!$H17=F$3,"A",IF('Master Plan'!$I17=F$3,"C",IF('Master Plan'!$J17=F$3,"I",""))))</f>
        <v/>
      </c>
      <c r="G17" s="20" t="str">
        <f>IF('Master Plan'!$G17=G$3,"R",IF('Master Plan'!$H17=G$3,"A",IF('Master Plan'!$I17=G$3,"C",IF('Master Plan'!$J17=G$3,"I",""))))</f>
        <v/>
      </c>
      <c r="H17" s="20" t="str">
        <f>IF('Master Plan'!$G17=H$3,"R",IF('Master Plan'!$H17=H$3,"A",IF('Master Plan'!$I17=H$3,"C",IF('Master Plan'!$J17=H$3,"I",""))))</f>
        <v/>
      </c>
      <c r="I17" s="20" t="str">
        <f>IF('Master Plan'!$G17=I$3,"R",IF('Master Plan'!$H17=I$3,"A",IF('Master Plan'!$I17=I$3,"C",IF('Master Plan'!$J17=I$3,"I",""))))</f>
        <v>R</v>
      </c>
      <c r="J17" s="20" t="str">
        <f>IF('Master Plan'!$G17=J$3,"R",IF('Master Plan'!$H17=J$3,"A",IF('Master Plan'!$I17=J$3,"C",IF('Master Plan'!$J17=J$3,"I",""))))</f>
        <v>I</v>
      </c>
      <c r="K17" s="20" t="str">
        <f>IF('Master Plan'!$G17=K$3,"R",IF('Master Plan'!$H17=K$3,"A",IF('Master Plan'!$I17=K$3,"C",IF('Master Plan'!$J17=K$3,"I",""))))</f>
        <v/>
      </c>
      <c r="L17" s="20" t="str">
        <f>IF('Master Plan'!$G17=L$3,"R",IF('Master Plan'!$H17=L$3,"A",IF('Master Plan'!$I17=L$3,"C",IF('Master Plan'!$J17=L$3,"I",""))))</f>
        <v/>
      </c>
      <c r="M17" s="20" t="str">
        <f>IF('Master Plan'!$G17=M$3,"R",IF('Master Plan'!$H17=M$3,"A",IF('Master Plan'!$I17=M$3,"C",IF('Master Plan'!$J17=M$3,"I",""))))</f>
        <v/>
      </c>
      <c r="N17" s="20" t="str">
        <f>IF('Master Plan'!$G17=N$3,"R",IF('Master Plan'!$H17=N$3,"A",IF('Master Plan'!$I17=N$3,"C",IF('Master Plan'!$J17=N$3,"I",""))))</f>
        <v/>
      </c>
      <c r="O17" s="20" t="str">
        <f>IF('Master Plan'!$G17=O$3,"R",IF('Master Plan'!$H17=O$3,"A",IF('Master Plan'!$I17=O$3,"C",IF('Master Plan'!$J17=O$3,"I",""))))</f>
        <v>C</v>
      </c>
      <c r="P17" s="20" t="str">
        <f>IF('Master Plan'!$G17=P$3,"R",IF('Master Plan'!$H17=P$3,"A",IF('Master Plan'!$I17=P$3,"C",IF('Master Plan'!$J17=P$3,"I",""))))</f>
        <v/>
      </c>
      <c r="Q17" s="20" t="str">
        <f>IF('Master Plan'!$G17=Q$3,"R",IF('Master Plan'!$H17=Q$3,"A",IF('Master Plan'!$I17=Q$3,"C",IF('Master Plan'!$J17=Q$3,"I",""))))</f>
        <v/>
      </c>
      <c r="R17" s="20" t="str">
        <f>IF('Master Plan'!$G17=R$3,"R",IF('Master Plan'!$H17=R$3,"A",IF('Master Plan'!$I17=R$3,"C",IF('Master Plan'!$J17=R$3,"I",""))))</f>
        <v/>
      </c>
      <c r="S17" s="20" t="str">
        <f>IF('Master Plan'!$G17=S$3,"R",IF('Master Plan'!$H17=S$3,"A",IF('Master Plan'!$I17=S$3,"C",IF('Master Plan'!$J17=S$3,"I",""))))</f>
        <v/>
      </c>
      <c r="T17" s="20" t="str">
        <f>IF('Master Plan'!$G17=T$3,"R",IF('Master Plan'!$H17=T$3,"A",IF('Master Plan'!$I17=T$3,"C",IF('Master Plan'!$J17=T$3,"I",""))))</f>
        <v/>
      </c>
      <c r="U17" s="20" t="str">
        <f>IF('Master Plan'!$G17=U$3,"R",IF('Master Plan'!$H17=U$3,"A",IF('Master Plan'!$I17=U$3,"C",IF('Master Plan'!$J17=U$3,"I",""))))</f>
        <v/>
      </c>
      <c r="V17" s="20" t="str">
        <f>IF('Master Plan'!$G17=V$3,"R",IF('Master Plan'!$H17=V$3,"A",IF('Master Plan'!$I17=V$3,"C",IF('Master Plan'!$J17=V$3,"I",""))))</f>
        <v/>
      </c>
      <c r="W17" s="20" t="str">
        <f>IF('Master Plan'!$G17=W$3,"R",IF('Master Plan'!$H17=W$3,"A",IF('Master Plan'!$I17=W$3,"C",IF('Master Plan'!$J17=W$3,"I",""))))</f>
        <v/>
      </c>
      <c r="X17" s="20" t="str">
        <f>IF('Master Plan'!$G17=X$3,"R",IF('Master Plan'!$H17=X$3,"A",IF('Master Plan'!$I17=X$3,"C",IF('Master Plan'!$J17=X$3,"I",""))))</f>
        <v/>
      </c>
      <c r="Y17" s="20">
        <f t="shared" si="0"/>
        <v>1</v>
      </c>
      <c r="Z17" s="20">
        <f t="shared" si="1"/>
        <v>0</v>
      </c>
      <c r="AA17" s="20">
        <f t="shared" si="2"/>
        <v>1</v>
      </c>
      <c r="AB17" s="20">
        <f t="shared" si="3"/>
        <v>1</v>
      </c>
    </row>
    <row r="18" spans="1:28" ht="15" customHeight="1" x14ac:dyDescent="0.2">
      <c r="A18" s="35" t="str">
        <f>'Master Plan'!A18</f>
        <v>T-014</v>
      </c>
      <c r="B18" s="35" t="str">
        <f>'Master Plan'!B18</f>
        <v>2. Planning &amp; Design</v>
      </c>
      <c r="C18" s="35" t="str">
        <f>'Master Plan'!E18</f>
        <v>WMS Technical Design</v>
      </c>
      <c r="D18" s="35" t="str">
        <f>'Master Plan'!N18</f>
        <v>Not Started</v>
      </c>
      <c r="E18" s="20" t="str">
        <f>IF('Master Plan'!$G18=E$3,"R",IF('Master Plan'!$H18=E$3,"A",IF('Master Plan'!$I18=E$3,"C",IF('Master Plan'!$J18=E$3,"I",""))))</f>
        <v/>
      </c>
      <c r="F18" s="20" t="str">
        <f>IF('Master Plan'!$G18=F$3,"R",IF('Master Plan'!$H18=F$3,"A",IF('Master Plan'!$I18=F$3,"C",IF('Master Plan'!$J18=F$3,"I",""))))</f>
        <v/>
      </c>
      <c r="G18" s="20" t="str">
        <f>IF('Master Plan'!$G18=G$3,"R",IF('Master Plan'!$H18=G$3,"A",IF('Master Plan'!$I18=G$3,"C",IF('Master Plan'!$J18=G$3,"I",""))))</f>
        <v/>
      </c>
      <c r="H18" s="20" t="str">
        <f>IF('Master Plan'!$G18=H$3,"R",IF('Master Plan'!$H18=H$3,"A",IF('Master Plan'!$I18=H$3,"C",IF('Master Plan'!$J18=H$3,"I",""))))</f>
        <v/>
      </c>
      <c r="I18" s="20" t="str">
        <f>IF('Master Plan'!$G18=I$3,"R",IF('Master Plan'!$H18=I$3,"A",IF('Master Plan'!$I18=I$3,"C",IF('Master Plan'!$J18=I$3,"I",""))))</f>
        <v>A</v>
      </c>
      <c r="J18" s="20" t="str">
        <f>IF('Master Plan'!$G18=J$3,"R",IF('Master Plan'!$H18=J$3,"A",IF('Master Plan'!$I18=J$3,"C",IF('Master Plan'!$J18=J$3,"I",""))))</f>
        <v>R</v>
      </c>
      <c r="K18" s="20" t="str">
        <f>IF('Master Plan'!$G18=K$3,"R",IF('Master Plan'!$H18=K$3,"A",IF('Master Plan'!$I18=K$3,"C",IF('Master Plan'!$J18=K$3,"I",""))))</f>
        <v/>
      </c>
      <c r="L18" s="20" t="str">
        <f>IF('Master Plan'!$G18=L$3,"R",IF('Master Plan'!$H18=L$3,"A",IF('Master Plan'!$I18=L$3,"C",IF('Master Plan'!$J18=L$3,"I",""))))</f>
        <v>C</v>
      </c>
      <c r="M18" s="20" t="str">
        <f>IF('Master Plan'!$G18=M$3,"R",IF('Master Plan'!$H18=M$3,"A",IF('Master Plan'!$I18=M$3,"C",IF('Master Plan'!$J18=M$3,"I",""))))</f>
        <v/>
      </c>
      <c r="N18" s="20" t="str">
        <f>IF('Master Plan'!$G18=N$3,"R",IF('Master Plan'!$H18=N$3,"A",IF('Master Plan'!$I18=N$3,"C",IF('Master Plan'!$J18=N$3,"I",""))))</f>
        <v/>
      </c>
      <c r="O18" s="20" t="str">
        <f>IF('Master Plan'!$G18=O$3,"R",IF('Master Plan'!$H18=O$3,"A",IF('Master Plan'!$I18=O$3,"C",IF('Master Plan'!$J18=O$3,"I",""))))</f>
        <v/>
      </c>
      <c r="P18" s="20" t="str">
        <f>IF('Master Plan'!$G18=P$3,"R",IF('Master Plan'!$H18=P$3,"A",IF('Master Plan'!$I18=P$3,"C",IF('Master Plan'!$J18=P$3,"I",""))))</f>
        <v/>
      </c>
      <c r="Q18" s="20" t="str">
        <f>IF('Master Plan'!$G18=Q$3,"R",IF('Master Plan'!$H18=Q$3,"A",IF('Master Plan'!$I18=Q$3,"C",IF('Master Plan'!$J18=Q$3,"I",""))))</f>
        <v/>
      </c>
      <c r="R18" s="20" t="str">
        <f>IF('Master Plan'!$G18=R$3,"R",IF('Master Plan'!$H18=R$3,"A",IF('Master Plan'!$I18=R$3,"C",IF('Master Plan'!$J18=R$3,"I",""))))</f>
        <v/>
      </c>
      <c r="S18" s="20" t="str">
        <f>IF('Master Plan'!$G18=S$3,"R",IF('Master Plan'!$H18=S$3,"A",IF('Master Plan'!$I18=S$3,"C",IF('Master Plan'!$J18=S$3,"I",""))))</f>
        <v/>
      </c>
      <c r="T18" s="20" t="str">
        <f>IF('Master Plan'!$G18=T$3,"R",IF('Master Plan'!$H18=T$3,"A",IF('Master Plan'!$I18=T$3,"C",IF('Master Plan'!$J18=T$3,"I",""))))</f>
        <v/>
      </c>
      <c r="U18" s="20" t="str">
        <f>IF('Master Plan'!$G18=U$3,"R",IF('Master Plan'!$H18=U$3,"A",IF('Master Plan'!$I18=U$3,"C",IF('Master Plan'!$J18=U$3,"I",""))))</f>
        <v/>
      </c>
      <c r="V18" s="20" t="str">
        <f>IF('Master Plan'!$G18=V$3,"R",IF('Master Plan'!$H18=V$3,"A",IF('Master Plan'!$I18=V$3,"C",IF('Master Plan'!$J18=V$3,"I",""))))</f>
        <v>I</v>
      </c>
      <c r="W18" s="20" t="str">
        <f>IF('Master Plan'!$G18=W$3,"R",IF('Master Plan'!$H18=W$3,"A",IF('Master Plan'!$I18=W$3,"C",IF('Master Plan'!$J18=W$3,"I",""))))</f>
        <v/>
      </c>
      <c r="X18" s="20" t="str">
        <f>IF('Master Plan'!$G18=X$3,"R",IF('Master Plan'!$H18=X$3,"A",IF('Master Plan'!$I18=X$3,"C",IF('Master Plan'!$J18=X$3,"I",""))))</f>
        <v/>
      </c>
      <c r="Y18" s="20">
        <f t="shared" si="0"/>
        <v>1</v>
      </c>
      <c r="Z18" s="20">
        <f t="shared" si="1"/>
        <v>1</v>
      </c>
      <c r="AA18" s="20">
        <f t="shared" si="2"/>
        <v>1</v>
      </c>
      <c r="AB18" s="20">
        <f t="shared" si="3"/>
        <v>1</v>
      </c>
    </row>
    <row r="19" spans="1:28" ht="15" customHeight="1" x14ac:dyDescent="0.2">
      <c r="A19" s="35" t="str">
        <f>'Master Plan'!A19</f>
        <v>T-015</v>
      </c>
      <c r="B19" s="35" t="str">
        <f>'Master Plan'!B19</f>
        <v>2. Planning &amp; Design</v>
      </c>
      <c r="C19" s="35" t="str">
        <f>'Master Plan'!E19</f>
        <v>Automation Design</v>
      </c>
      <c r="D19" s="35" t="str">
        <f>'Master Plan'!N19</f>
        <v>Not Started</v>
      </c>
      <c r="E19" s="20" t="str">
        <f>IF('Master Plan'!$G19=E$3,"R",IF('Master Plan'!$H19=E$3,"A",IF('Master Plan'!$I19=E$3,"C",IF('Master Plan'!$J19=E$3,"I",""))))</f>
        <v/>
      </c>
      <c r="F19" s="20" t="str">
        <f>IF('Master Plan'!$G19=F$3,"R",IF('Master Plan'!$H19=F$3,"A",IF('Master Plan'!$I19=F$3,"C",IF('Master Plan'!$J19=F$3,"I",""))))</f>
        <v/>
      </c>
      <c r="G19" s="20" t="str">
        <f>IF('Master Plan'!$G19=G$3,"R",IF('Master Plan'!$H19=G$3,"A",IF('Master Plan'!$I19=G$3,"C",IF('Master Plan'!$J19=G$3,"I",""))))</f>
        <v/>
      </c>
      <c r="H19" s="20" t="str">
        <f>IF('Master Plan'!$G19=H$3,"R",IF('Master Plan'!$H19=H$3,"A",IF('Master Plan'!$I19=H$3,"C",IF('Master Plan'!$J19=H$3,"I",""))))</f>
        <v/>
      </c>
      <c r="I19" s="20" t="str">
        <f>IF('Master Plan'!$G19=I$3,"R",IF('Master Plan'!$H19=I$3,"A",IF('Master Plan'!$I19=I$3,"C",IF('Master Plan'!$J19=I$3,"I",""))))</f>
        <v>I</v>
      </c>
      <c r="J19" s="20" t="str">
        <f>IF('Master Plan'!$G19=J$3,"R",IF('Master Plan'!$H19=J$3,"A",IF('Master Plan'!$I19=J$3,"C",IF('Master Plan'!$J19=J$3,"I",""))))</f>
        <v/>
      </c>
      <c r="K19" s="20" t="str">
        <f>IF('Master Plan'!$G19=K$3,"R",IF('Master Plan'!$H19=K$3,"A",IF('Master Plan'!$I19=K$3,"C",IF('Master Plan'!$J19=K$3,"I",""))))</f>
        <v>R</v>
      </c>
      <c r="L19" s="20" t="str">
        <f>IF('Master Plan'!$G19=L$3,"R",IF('Master Plan'!$H19=L$3,"A",IF('Master Plan'!$I19=L$3,"C",IF('Master Plan'!$J19=L$3,"I",""))))</f>
        <v/>
      </c>
      <c r="M19" s="20" t="str">
        <f>IF('Master Plan'!$G19=M$3,"R",IF('Master Plan'!$H19=M$3,"A",IF('Master Plan'!$I19=M$3,"C",IF('Master Plan'!$J19=M$3,"I",""))))</f>
        <v/>
      </c>
      <c r="N19" s="20" t="str">
        <f>IF('Master Plan'!$G19=N$3,"R",IF('Master Plan'!$H19=N$3,"A",IF('Master Plan'!$I19=N$3,"C",IF('Master Plan'!$J19=N$3,"I",""))))</f>
        <v/>
      </c>
      <c r="O19" s="20" t="str">
        <f>IF('Master Plan'!$G19=O$3,"R",IF('Master Plan'!$H19=O$3,"A",IF('Master Plan'!$I19=O$3,"C",IF('Master Plan'!$J19=O$3,"I",""))))</f>
        <v/>
      </c>
      <c r="P19" s="20" t="str">
        <f>IF('Master Plan'!$G19=P$3,"R",IF('Master Plan'!$H19=P$3,"A",IF('Master Plan'!$I19=P$3,"C",IF('Master Plan'!$J19=P$3,"I",""))))</f>
        <v/>
      </c>
      <c r="Q19" s="20" t="str">
        <f>IF('Master Plan'!$G19=Q$3,"R",IF('Master Plan'!$H19=Q$3,"A",IF('Master Plan'!$I19=Q$3,"C",IF('Master Plan'!$J19=Q$3,"I",""))))</f>
        <v/>
      </c>
      <c r="R19" s="20" t="str">
        <f>IF('Master Plan'!$G19=R$3,"R",IF('Master Plan'!$H19=R$3,"A",IF('Master Plan'!$I19=R$3,"C",IF('Master Plan'!$J19=R$3,"I",""))))</f>
        <v>C</v>
      </c>
      <c r="S19" s="20" t="str">
        <f>IF('Master Plan'!$G19=S$3,"R",IF('Master Plan'!$H19=S$3,"A",IF('Master Plan'!$I19=S$3,"C",IF('Master Plan'!$J19=S$3,"I",""))))</f>
        <v/>
      </c>
      <c r="T19" s="20" t="str">
        <f>IF('Master Plan'!$G19=T$3,"R",IF('Master Plan'!$H19=T$3,"A",IF('Master Plan'!$I19=T$3,"C",IF('Master Plan'!$J19=T$3,"I",""))))</f>
        <v/>
      </c>
      <c r="U19" s="20" t="str">
        <f>IF('Master Plan'!$G19=U$3,"R",IF('Master Plan'!$H19=U$3,"A",IF('Master Plan'!$I19=U$3,"C",IF('Master Plan'!$J19=U$3,"I",""))))</f>
        <v/>
      </c>
      <c r="V19" s="20" t="str">
        <f>IF('Master Plan'!$G19=V$3,"R",IF('Master Plan'!$H19=V$3,"A",IF('Master Plan'!$I19=V$3,"C",IF('Master Plan'!$J19=V$3,"I",""))))</f>
        <v/>
      </c>
      <c r="W19" s="20" t="str">
        <f>IF('Master Plan'!$G19=W$3,"R",IF('Master Plan'!$H19=W$3,"A",IF('Master Plan'!$I19=W$3,"C",IF('Master Plan'!$J19=W$3,"I",""))))</f>
        <v/>
      </c>
      <c r="X19" s="20" t="str">
        <f>IF('Master Plan'!$G19=X$3,"R",IF('Master Plan'!$H19=X$3,"A",IF('Master Plan'!$I19=X$3,"C",IF('Master Plan'!$J19=X$3,"I",""))))</f>
        <v/>
      </c>
      <c r="Y19" s="20">
        <f t="shared" si="0"/>
        <v>1</v>
      </c>
      <c r="Z19" s="20">
        <f t="shared" si="1"/>
        <v>0</v>
      </c>
      <c r="AA19" s="20">
        <f t="shared" si="2"/>
        <v>1</v>
      </c>
      <c r="AB19" s="20">
        <f t="shared" si="3"/>
        <v>1</v>
      </c>
    </row>
    <row r="20" spans="1:28" ht="15" customHeight="1" x14ac:dyDescent="0.2">
      <c r="A20" s="35" t="str">
        <f>'Master Plan'!A20</f>
        <v>T-016</v>
      </c>
      <c r="B20" s="35" t="str">
        <f>'Master Plan'!B20</f>
        <v>2. Planning &amp; Design</v>
      </c>
      <c r="C20" s="35" t="str">
        <f>'Master Plan'!E20</f>
        <v>Interface Catalogue</v>
      </c>
      <c r="D20" s="35" t="str">
        <f>'Master Plan'!N20</f>
        <v>Not Started</v>
      </c>
      <c r="E20" s="20" t="str">
        <f>IF('Master Plan'!$G20=E$3,"R",IF('Master Plan'!$H20=E$3,"A",IF('Master Plan'!$I20=E$3,"C",IF('Master Plan'!$J20=E$3,"I",""))))</f>
        <v/>
      </c>
      <c r="F20" s="20" t="str">
        <f>IF('Master Plan'!$G20=F$3,"R",IF('Master Plan'!$H20=F$3,"A",IF('Master Plan'!$I20=F$3,"C",IF('Master Plan'!$J20=F$3,"I",""))))</f>
        <v/>
      </c>
      <c r="G20" s="20" t="str">
        <f>IF('Master Plan'!$G20=G$3,"R",IF('Master Plan'!$H20=G$3,"A",IF('Master Plan'!$I20=G$3,"C",IF('Master Plan'!$J20=G$3,"I",""))))</f>
        <v/>
      </c>
      <c r="H20" s="20" t="str">
        <f>IF('Master Plan'!$G20=H$3,"R",IF('Master Plan'!$H20=H$3,"A",IF('Master Plan'!$I20=H$3,"C",IF('Master Plan'!$J20=H$3,"I",""))))</f>
        <v/>
      </c>
      <c r="I20" s="20" t="str">
        <f>IF('Master Plan'!$G20=I$3,"R",IF('Master Plan'!$H20=I$3,"A",IF('Master Plan'!$I20=I$3,"C",IF('Master Plan'!$J20=I$3,"I",""))))</f>
        <v/>
      </c>
      <c r="J20" s="20" t="str">
        <f>IF('Master Plan'!$G20=J$3,"R",IF('Master Plan'!$H20=J$3,"A",IF('Master Plan'!$I20=J$3,"C",IF('Master Plan'!$J20=J$3,"I",""))))</f>
        <v>C</v>
      </c>
      <c r="K20" s="20" t="str">
        <f>IF('Master Plan'!$G20=K$3,"R",IF('Master Plan'!$H20=K$3,"A",IF('Master Plan'!$I20=K$3,"C",IF('Master Plan'!$J20=K$3,"I",""))))</f>
        <v/>
      </c>
      <c r="L20" s="20" t="str">
        <f>IF('Master Plan'!$G20=L$3,"R",IF('Master Plan'!$H20=L$3,"A",IF('Master Plan'!$I20=L$3,"C",IF('Master Plan'!$J20=L$3,"I",""))))</f>
        <v>R</v>
      </c>
      <c r="M20" s="20" t="str">
        <f>IF('Master Plan'!$G20=M$3,"R",IF('Master Plan'!$H20=M$3,"A",IF('Master Plan'!$I20=M$3,"C",IF('Master Plan'!$J20=M$3,"I",""))))</f>
        <v/>
      </c>
      <c r="N20" s="20" t="str">
        <f>IF('Master Plan'!$G20=N$3,"R",IF('Master Plan'!$H20=N$3,"A",IF('Master Plan'!$I20=N$3,"C",IF('Master Plan'!$J20=N$3,"I",""))))</f>
        <v/>
      </c>
      <c r="O20" s="20" t="str">
        <f>IF('Master Plan'!$G20=O$3,"R",IF('Master Plan'!$H20=O$3,"A",IF('Master Plan'!$I20=O$3,"C",IF('Master Plan'!$J20=O$3,"I",""))))</f>
        <v/>
      </c>
      <c r="P20" s="20" t="str">
        <f>IF('Master Plan'!$G20=P$3,"R",IF('Master Plan'!$H20=P$3,"A",IF('Master Plan'!$I20=P$3,"C",IF('Master Plan'!$J20=P$3,"I",""))))</f>
        <v>I</v>
      </c>
      <c r="Q20" s="20" t="str">
        <f>IF('Master Plan'!$G20=Q$3,"R",IF('Master Plan'!$H20=Q$3,"A",IF('Master Plan'!$I20=Q$3,"C",IF('Master Plan'!$J20=Q$3,"I",""))))</f>
        <v/>
      </c>
      <c r="R20" s="20" t="str">
        <f>IF('Master Plan'!$G20=R$3,"R",IF('Master Plan'!$H20=R$3,"A",IF('Master Plan'!$I20=R$3,"C",IF('Master Plan'!$J20=R$3,"I",""))))</f>
        <v/>
      </c>
      <c r="S20" s="20" t="str">
        <f>IF('Master Plan'!$G20=S$3,"R",IF('Master Plan'!$H20=S$3,"A",IF('Master Plan'!$I20=S$3,"C",IF('Master Plan'!$J20=S$3,"I",""))))</f>
        <v/>
      </c>
      <c r="T20" s="20" t="str">
        <f>IF('Master Plan'!$G20=T$3,"R",IF('Master Plan'!$H20=T$3,"A",IF('Master Plan'!$I20=T$3,"C",IF('Master Plan'!$J20=T$3,"I",""))))</f>
        <v/>
      </c>
      <c r="U20" s="20" t="str">
        <f>IF('Master Plan'!$G20=U$3,"R",IF('Master Plan'!$H20=U$3,"A",IF('Master Plan'!$I20=U$3,"C",IF('Master Plan'!$J20=U$3,"I",""))))</f>
        <v/>
      </c>
      <c r="V20" s="20" t="str">
        <f>IF('Master Plan'!$G20=V$3,"R",IF('Master Plan'!$H20=V$3,"A",IF('Master Plan'!$I20=V$3,"C",IF('Master Plan'!$J20=V$3,"I",""))))</f>
        <v/>
      </c>
      <c r="W20" s="20" t="str">
        <f>IF('Master Plan'!$G20=W$3,"R",IF('Master Plan'!$H20=W$3,"A",IF('Master Plan'!$I20=W$3,"C",IF('Master Plan'!$J20=W$3,"I",""))))</f>
        <v/>
      </c>
      <c r="X20" s="20" t="str">
        <f>IF('Master Plan'!$G20=X$3,"R",IF('Master Plan'!$H20=X$3,"A",IF('Master Plan'!$I20=X$3,"C",IF('Master Plan'!$J20=X$3,"I",""))))</f>
        <v/>
      </c>
      <c r="Y20" s="20">
        <f t="shared" si="0"/>
        <v>1</v>
      </c>
      <c r="Z20" s="20">
        <f t="shared" si="1"/>
        <v>0</v>
      </c>
      <c r="AA20" s="20">
        <f t="shared" si="2"/>
        <v>1</v>
      </c>
      <c r="AB20" s="20">
        <f t="shared" si="3"/>
        <v>1</v>
      </c>
    </row>
    <row r="21" spans="1:28" ht="15" customHeight="1" x14ac:dyDescent="0.2">
      <c r="A21" s="35" t="str">
        <f>'Master Plan'!A21</f>
        <v>T-017</v>
      </c>
      <c r="B21" s="35" t="str">
        <f>'Master Plan'!B21</f>
        <v>2. Planning &amp; Design</v>
      </c>
      <c r="C21" s="35" t="str">
        <f>'Master Plan'!E21</f>
        <v>Data Migration Strategy</v>
      </c>
      <c r="D21" s="35" t="str">
        <f>'Master Plan'!N21</f>
        <v>Not Started</v>
      </c>
      <c r="E21" s="20" t="str">
        <f>IF('Master Plan'!$G21=E$3,"R",IF('Master Plan'!$H21=E$3,"A",IF('Master Plan'!$I21=E$3,"C",IF('Master Plan'!$J21=E$3,"I",""))))</f>
        <v/>
      </c>
      <c r="F21" s="20" t="str">
        <f>IF('Master Plan'!$G21=F$3,"R",IF('Master Plan'!$H21=F$3,"A",IF('Master Plan'!$I21=F$3,"C",IF('Master Plan'!$J21=F$3,"I",""))))</f>
        <v/>
      </c>
      <c r="G21" s="20" t="str">
        <f>IF('Master Plan'!$G21=G$3,"R",IF('Master Plan'!$H21=G$3,"A",IF('Master Plan'!$I21=G$3,"C",IF('Master Plan'!$J21=G$3,"I",""))))</f>
        <v/>
      </c>
      <c r="H21" s="20" t="str">
        <f>IF('Master Plan'!$G21=H$3,"R",IF('Master Plan'!$H21=H$3,"A",IF('Master Plan'!$I21=H$3,"C",IF('Master Plan'!$J21=H$3,"I",""))))</f>
        <v/>
      </c>
      <c r="I21" s="20" t="str">
        <f>IF('Master Plan'!$G21=I$3,"R",IF('Master Plan'!$H21=I$3,"A",IF('Master Plan'!$I21=I$3,"C",IF('Master Plan'!$J21=I$3,"I",""))))</f>
        <v>C</v>
      </c>
      <c r="J21" s="20" t="str">
        <f>IF('Master Plan'!$G21=J$3,"R",IF('Master Plan'!$H21=J$3,"A",IF('Master Plan'!$I21=J$3,"C",IF('Master Plan'!$J21=J$3,"I",""))))</f>
        <v/>
      </c>
      <c r="K21" s="20" t="str">
        <f>IF('Master Plan'!$G21=K$3,"R",IF('Master Plan'!$H21=K$3,"A",IF('Master Plan'!$I21=K$3,"C",IF('Master Plan'!$J21=K$3,"I",""))))</f>
        <v/>
      </c>
      <c r="L21" s="20" t="str">
        <f>IF('Master Plan'!$G21=L$3,"R",IF('Master Plan'!$H21=L$3,"A",IF('Master Plan'!$I21=L$3,"C",IF('Master Plan'!$J21=L$3,"I",""))))</f>
        <v>A</v>
      </c>
      <c r="M21" s="20" t="str">
        <f>IF('Master Plan'!$G21=M$3,"R",IF('Master Plan'!$H21=M$3,"A",IF('Master Plan'!$I21=M$3,"C",IF('Master Plan'!$J21=M$3,"I",""))))</f>
        <v>R</v>
      </c>
      <c r="N21" s="20" t="str">
        <f>IF('Master Plan'!$G21=N$3,"R",IF('Master Plan'!$H21=N$3,"A",IF('Master Plan'!$I21=N$3,"C",IF('Master Plan'!$J21=N$3,"I",""))))</f>
        <v/>
      </c>
      <c r="O21" s="20" t="str">
        <f>IF('Master Plan'!$G21=O$3,"R",IF('Master Plan'!$H21=O$3,"A",IF('Master Plan'!$I21=O$3,"C",IF('Master Plan'!$J21=O$3,"I",""))))</f>
        <v>I</v>
      </c>
      <c r="P21" s="20" t="str">
        <f>IF('Master Plan'!$G21=P$3,"R",IF('Master Plan'!$H21=P$3,"A",IF('Master Plan'!$I21=P$3,"C",IF('Master Plan'!$J21=P$3,"I",""))))</f>
        <v/>
      </c>
      <c r="Q21" s="20" t="str">
        <f>IF('Master Plan'!$G21=Q$3,"R",IF('Master Plan'!$H21=Q$3,"A",IF('Master Plan'!$I21=Q$3,"C",IF('Master Plan'!$J21=Q$3,"I",""))))</f>
        <v/>
      </c>
      <c r="R21" s="20" t="str">
        <f>IF('Master Plan'!$G21=R$3,"R",IF('Master Plan'!$H21=R$3,"A",IF('Master Plan'!$I21=R$3,"C",IF('Master Plan'!$J21=R$3,"I",""))))</f>
        <v/>
      </c>
      <c r="S21" s="20" t="str">
        <f>IF('Master Plan'!$G21=S$3,"R",IF('Master Plan'!$H21=S$3,"A",IF('Master Plan'!$I21=S$3,"C",IF('Master Plan'!$J21=S$3,"I",""))))</f>
        <v/>
      </c>
      <c r="T21" s="20" t="str">
        <f>IF('Master Plan'!$G21=T$3,"R",IF('Master Plan'!$H21=T$3,"A",IF('Master Plan'!$I21=T$3,"C",IF('Master Plan'!$J21=T$3,"I",""))))</f>
        <v/>
      </c>
      <c r="U21" s="20" t="str">
        <f>IF('Master Plan'!$G21=U$3,"R",IF('Master Plan'!$H21=U$3,"A",IF('Master Plan'!$I21=U$3,"C",IF('Master Plan'!$J21=U$3,"I",""))))</f>
        <v/>
      </c>
      <c r="V21" s="20" t="str">
        <f>IF('Master Plan'!$G21=V$3,"R",IF('Master Plan'!$H21=V$3,"A",IF('Master Plan'!$I21=V$3,"C",IF('Master Plan'!$J21=V$3,"I",""))))</f>
        <v/>
      </c>
      <c r="W21" s="20" t="str">
        <f>IF('Master Plan'!$G21=W$3,"R",IF('Master Plan'!$H21=W$3,"A",IF('Master Plan'!$I21=W$3,"C",IF('Master Plan'!$J21=W$3,"I",""))))</f>
        <v/>
      </c>
      <c r="X21" s="20" t="str">
        <f>IF('Master Plan'!$G21=X$3,"R",IF('Master Plan'!$H21=X$3,"A",IF('Master Plan'!$I21=X$3,"C",IF('Master Plan'!$J21=X$3,"I",""))))</f>
        <v/>
      </c>
      <c r="Y21" s="20">
        <f t="shared" si="0"/>
        <v>1</v>
      </c>
      <c r="Z21" s="20">
        <f t="shared" si="1"/>
        <v>1</v>
      </c>
      <c r="AA21" s="20">
        <f t="shared" si="2"/>
        <v>1</v>
      </c>
      <c r="AB21" s="20">
        <f t="shared" si="3"/>
        <v>1</v>
      </c>
    </row>
    <row r="22" spans="1:28" ht="15" customHeight="1" x14ac:dyDescent="0.2">
      <c r="A22" s="35" t="str">
        <f>'Master Plan'!A22</f>
        <v>T-018</v>
      </c>
      <c r="B22" s="35" t="str">
        <f>'Master Plan'!B22</f>
        <v>2. Planning &amp; Design</v>
      </c>
      <c r="C22" s="35" t="str">
        <f>'Master Plan'!E22</f>
        <v>Test Strategy</v>
      </c>
      <c r="D22" s="35" t="str">
        <f>'Master Plan'!N22</f>
        <v>Not Started</v>
      </c>
      <c r="E22" s="20" t="str">
        <f>IF('Master Plan'!$G22=E$3,"R",IF('Master Plan'!$H22=E$3,"A",IF('Master Plan'!$I22=E$3,"C",IF('Master Plan'!$J22=E$3,"I",""))))</f>
        <v/>
      </c>
      <c r="F22" s="20" t="str">
        <f>IF('Master Plan'!$G22=F$3,"R",IF('Master Plan'!$H22=F$3,"A",IF('Master Plan'!$I22=F$3,"C",IF('Master Plan'!$J22=F$3,"I",""))))</f>
        <v/>
      </c>
      <c r="G22" s="20" t="str">
        <f>IF('Master Plan'!$G22=G$3,"R",IF('Master Plan'!$H22=G$3,"A",IF('Master Plan'!$I22=G$3,"C",IF('Master Plan'!$J22=G$3,"I",""))))</f>
        <v/>
      </c>
      <c r="H22" s="20" t="str">
        <f>IF('Master Plan'!$G22=H$3,"R",IF('Master Plan'!$H22=H$3,"A",IF('Master Plan'!$I22=H$3,"C",IF('Master Plan'!$J22=H$3,"I",""))))</f>
        <v/>
      </c>
      <c r="I22" s="20" t="str">
        <f>IF('Master Plan'!$G22=I$3,"R",IF('Master Plan'!$H22=I$3,"A",IF('Master Plan'!$I22=I$3,"C",IF('Master Plan'!$J22=I$3,"I",""))))</f>
        <v>C</v>
      </c>
      <c r="J22" s="20" t="str">
        <f>IF('Master Plan'!$G22=J$3,"R",IF('Master Plan'!$H22=J$3,"A",IF('Master Plan'!$I22=J$3,"C",IF('Master Plan'!$J22=J$3,"I",""))))</f>
        <v/>
      </c>
      <c r="K22" s="20" t="str">
        <f>IF('Master Plan'!$G22=K$3,"R",IF('Master Plan'!$H22=K$3,"A",IF('Master Plan'!$I22=K$3,"C",IF('Master Plan'!$J22=K$3,"I",""))))</f>
        <v>I</v>
      </c>
      <c r="L22" s="20" t="str">
        <f>IF('Master Plan'!$G22=L$3,"R",IF('Master Plan'!$H22=L$3,"A",IF('Master Plan'!$I22=L$3,"C",IF('Master Plan'!$J22=L$3,"I",""))))</f>
        <v/>
      </c>
      <c r="M22" s="20" t="str">
        <f>IF('Master Plan'!$G22=M$3,"R",IF('Master Plan'!$H22=M$3,"A",IF('Master Plan'!$I22=M$3,"C",IF('Master Plan'!$J22=M$3,"I",""))))</f>
        <v/>
      </c>
      <c r="N22" s="20" t="str">
        <f>IF('Master Plan'!$G22=N$3,"R",IF('Master Plan'!$H22=N$3,"A",IF('Master Plan'!$I22=N$3,"C",IF('Master Plan'!$J22=N$3,"I",""))))</f>
        <v>R</v>
      </c>
      <c r="O22" s="20" t="str">
        <f>IF('Master Plan'!$G22=O$3,"R",IF('Master Plan'!$H22=O$3,"A",IF('Master Plan'!$I22=O$3,"C",IF('Master Plan'!$J22=O$3,"I",""))))</f>
        <v/>
      </c>
      <c r="P22" s="20" t="str">
        <f>IF('Master Plan'!$G22=P$3,"R",IF('Master Plan'!$H22=P$3,"A",IF('Master Plan'!$I22=P$3,"C",IF('Master Plan'!$J22=P$3,"I",""))))</f>
        <v/>
      </c>
      <c r="Q22" s="20" t="str">
        <f>IF('Master Plan'!$G22=Q$3,"R",IF('Master Plan'!$H22=Q$3,"A",IF('Master Plan'!$I22=Q$3,"C",IF('Master Plan'!$J22=Q$3,"I",""))))</f>
        <v/>
      </c>
      <c r="R22" s="20" t="str">
        <f>IF('Master Plan'!$G22=R$3,"R",IF('Master Plan'!$H22=R$3,"A",IF('Master Plan'!$I22=R$3,"C",IF('Master Plan'!$J22=R$3,"I",""))))</f>
        <v/>
      </c>
      <c r="S22" s="20" t="str">
        <f>IF('Master Plan'!$G22=S$3,"R",IF('Master Plan'!$H22=S$3,"A",IF('Master Plan'!$I22=S$3,"C",IF('Master Plan'!$J22=S$3,"I",""))))</f>
        <v/>
      </c>
      <c r="T22" s="20" t="str">
        <f>IF('Master Plan'!$G22=T$3,"R",IF('Master Plan'!$H22=T$3,"A",IF('Master Plan'!$I22=T$3,"C",IF('Master Plan'!$J22=T$3,"I",""))))</f>
        <v/>
      </c>
      <c r="U22" s="20" t="str">
        <f>IF('Master Plan'!$G22=U$3,"R",IF('Master Plan'!$H22=U$3,"A",IF('Master Plan'!$I22=U$3,"C",IF('Master Plan'!$J22=U$3,"I",""))))</f>
        <v/>
      </c>
      <c r="V22" s="20" t="str">
        <f>IF('Master Plan'!$G22=V$3,"R",IF('Master Plan'!$H22=V$3,"A",IF('Master Plan'!$I22=V$3,"C",IF('Master Plan'!$J22=V$3,"I",""))))</f>
        <v/>
      </c>
      <c r="W22" s="20" t="str">
        <f>IF('Master Plan'!$G22=W$3,"R",IF('Master Plan'!$H22=W$3,"A",IF('Master Plan'!$I22=W$3,"C",IF('Master Plan'!$J22=W$3,"I",""))))</f>
        <v/>
      </c>
      <c r="X22" s="20" t="str">
        <f>IF('Master Plan'!$G22=X$3,"R",IF('Master Plan'!$H22=X$3,"A",IF('Master Plan'!$I22=X$3,"C",IF('Master Plan'!$J22=X$3,"I",""))))</f>
        <v/>
      </c>
      <c r="Y22" s="20">
        <f t="shared" si="0"/>
        <v>1</v>
      </c>
      <c r="Z22" s="20">
        <f t="shared" si="1"/>
        <v>0</v>
      </c>
      <c r="AA22" s="20">
        <f t="shared" si="2"/>
        <v>1</v>
      </c>
      <c r="AB22" s="20">
        <f t="shared" si="3"/>
        <v>1</v>
      </c>
    </row>
    <row r="23" spans="1:28" ht="15" customHeight="1" x14ac:dyDescent="0.2">
      <c r="A23" s="35" t="str">
        <f>'Master Plan'!A23</f>
        <v>T-019</v>
      </c>
      <c r="B23" s="35" t="str">
        <f>'Master Plan'!B23</f>
        <v>2. Planning &amp; Design</v>
      </c>
      <c r="C23" s="35" t="str">
        <f>'Master Plan'!E23</f>
        <v>Infrastructure Design</v>
      </c>
      <c r="D23" s="35" t="str">
        <f>'Master Plan'!N23</f>
        <v>Not Started</v>
      </c>
      <c r="E23" s="20" t="str">
        <f>IF('Master Plan'!$G23=E$3,"R",IF('Master Plan'!$H23=E$3,"A",IF('Master Plan'!$I23=E$3,"C",IF('Master Plan'!$J23=E$3,"I",""))))</f>
        <v/>
      </c>
      <c r="F23" s="20" t="str">
        <f>IF('Master Plan'!$G23=F$3,"R",IF('Master Plan'!$H23=F$3,"A",IF('Master Plan'!$I23=F$3,"C",IF('Master Plan'!$J23=F$3,"I",""))))</f>
        <v/>
      </c>
      <c r="G23" s="20" t="str">
        <f>IF('Master Plan'!$G23=G$3,"R",IF('Master Plan'!$H23=G$3,"A",IF('Master Plan'!$I23=G$3,"C",IF('Master Plan'!$J23=G$3,"I",""))))</f>
        <v/>
      </c>
      <c r="H23" s="20" t="str">
        <f>IF('Master Plan'!$G23=H$3,"R",IF('Master Plan'!$H23=H$3,"A",IF('Master Plan'!$I23=H$3,"C",IF('Master Plan'!$J23=H$3,"I",""))))</f>
        <v>I</v>
      </c>
      <c r="I23" s="20" t="str">
        <f>IF('Master Plan'!$G23=I$3,"R",IF('Master Plan'!$H23=I$3,"A",IF('Master Plan'!$I23=I$3,"C",IF('Master Plan'!$J23=I$3,"I",""))))</f>
        <v/>
      </c>
      <c r="J23" s="20" t="str">
        <f>IF('Master Plan'!$G23=J$3,"R",IF('Master Plan'!$H23=J$3,"A",IF('Master Plan'!$I23=J$3,"C",IF('Master Plan'!$J23=J$3,"I",""))))</f>
        <v>C</v>
      </c>
      <c r="K23" s="20" t="str">
        <f>IF('Master Plan'!$G23=K$3,"R",IF('Master Plan'!$H23=K$3,"A",IF('Master Plan'!$I23=K$3,"C",IF('Master Plan'!$J23=K$3,"I",""))))</f>
        <v/>
      </c>
      <c r="L23" s="20" t="str">
        <f>IF('Master Plan'!$G23=L$3,"R",IF('Master Plan'!$H23=L$3,"A",IF('Master Plan'!$I23=L$3,"C",IF('Master Plan'!$J23=L$3,"I",""))))</f>
        <v/>
      </c>
      <c r="M23" s="20" t="str">
        <f>IF('Master Plan'!$G23=M$3,"R",IF('Master Plan'!$H23=M$3,"A",IF('Master Plan'!$I23=M$3,"C",IF('Master Plan'!$J23=M$3,"I",""))))</f>
        <v/>
      </c>
      <c r="N23" s="20" t="str">
        <f>IF('Master Plan'!$G23=N$3,"R",IF('Master Plan'!$H23=N$3,"A",IF('Master Plan'!$I23=N$3,"C",IF('Master Plan'!$J23=N$3,"I",""))))</f>
        <v/>
      </c>
      <c r="O23" s="20" t="str">
        <f>IF('Master Plan'!$G23=O$3,"R",IF('Master Plan'!$H23=O$3,"A",IF('Master Plan'!$I23=O$3,"C",IF('Master Plan'!$J23=O$3,"I",""))))</f>
        <v/>
      </c>
      <c r="P23" s="20" t="str">
        <f>IF('Master Plan'!$G23=P$3,"R",IF('Master Plan'!$H23=P$3,"A",IF('Master Plan'!$I23=P$3,"C",IF('Master Plan'!$J23=P$3,"I",""))))</f>
        <v/>
      </c>
      <c r="Q23" s="20" t="str">
        <f>IF('Master Plan'!$G23=Q$3,"R",IF('Master Plan'!$H23=Q$3,"A",IF('Master Plan'!$I23=Q$3,"C",IF('Master Plan'!$J23=Q$3,"I",""))))</f>
        <v/>
      </c>
      <c r="R23" s="20" t="str">
        <f>IF('Master Plan'!$G23=R$3,"R",IF('Master Plan'!$H23=R$3,"A",IF('Master Plan'!$I23=R$3,"C",IF('Master Plan'!$J23=R$3,"I",""))))</f>
        <v/>
      </c>
      <c r="S23" s="20" t="str">
        <f>IF('Master Plan'!$G23=S$3,"R",IF('Master Plan'!$H23=S$3,"A",IF('Master Plan'!$I23=S$3,"C",IF('Master Plan'!$J23=S$3,"I",""))))</f>
        <v/>
      </c>
      <c r="T23" s="20" t="str">
        <f>IF('Master Plan'!$G23=T$3,"R",IF('Master Plan'!$H23=T$3,"A",IF('Master Plan'!$I23=T$3,"C",IF('Master Plan'!$J23=T$3,"I",""))))</f>
        <v/>
      </c>
      <c r="U23" s="20" t="str">
        <f>IF('Master Plan'!$G23=U$3,"R",IF('Master Plan'!$H23=U$3,"A",IF('Master Plan'!$I23=U$3,"C",IF('Master Plan'!$J23=U$3,"I",""))))</f>
        <v/>
      </c>
      <c r="V23" s="20" t="str">
        <f>IF('Master Plan'!$G23=V$3,"R",IF('Master Plan'!$H23=V$3,"A",IF('Master Plan'!$I23=V$3,"C",IF('Master Plan'!$J23=V$3,"I",""))))</f>
        <v>R</v>
      </c>
      <c r="W23" s="20" t="str">
        <f>IF('Master Plan'!$G23=W$3,"R",IF('Master Plan'!$H23=W$3,"A",IF('Master Plan'!$I23=W$3,"C",IF('Master Plan'!$J23=W$3,"I",""))))</f>
        <v/>
      </c>
      <c r="X23" s="20" t="str">
        <f>IF('Master Plan'!$G23=X$3,"R",IF('Master Plan'!$H23=X$3,"A",IF('Master Plan'!$I23=X$3,"C",IF('Master Plan'!$J23=X$3,"I",""))))</f>
        <v/>
      </c>
      <c r="Y23" s="20">
        <f t="shared" si="0"/>
        <v>1</v>
      </c>
      <c r="Z23" s="20">
        <f t="shared" si="1"/>
        <v>0</v>
      </c>
      <c r="AA23" s="20">
        <f t="shared" si="2"/>
        <v>1</v>
      </c>
      <c r="AB23" s="20">
        <f t="shared" si="3"/>
        <v>1</v>
      </c>
    </row>
    <row r="24" spans="1:28" ht="15" customHeight="1" x14ac:dyDescent="0.2">
      <c r="A24" s="35" t="str">
        <f>'Master Plan'!A24</f>
        <v>T-020</v>
      </c>
      <c r="B24" s="35" t="str">
        <f>'Master Plan'!B24</f>
        <v>2. Planning &amp; Design</v>
      </c>
      <c r="C24" s="35" t="str">
        <f>'Master Plan'!E24</f>
        <v>Transportation Design</v>
      </c>
      <c r="D24" s="35" t="str">
        <f>'Master Plan'!N24</f>
        <v>Not Started</v>
      </c>
      <c r="E24" s="20" t="str">
        <f>IF('Master Plan'!$G24=E$3,"R",IF('Master Plan'!$H24=E$3,"A",IF('Master Plan'!$I24=E$3,"C",IF('Master Plan'!$J24=E$3,"I",""))))</f>
        <v/>
      </c>
      <c r="F24" s="20" t="str">
        <f>IF('Master Plan'!$G24=F$3,"R",IF('Master Plan'!$H24=F$3,"A",IF('Master Plan'!$I24=F$3,"C",IF('Master Plan'!$J24=F$3,"I",""))))</f>
        <v/>
      </c>
      <c r="G24" s="20" t="str">
        <f>IF('Master Plan'!$G24=G$3,"R",IF('Master Plan'!$H24=G$3,"A",IF('Master Plan'!$I24=G$3,"C",IF('Master Plan'!$J24=G$3,"I",""))))</f>
        <v/>
      </c>
      <c r="H24" s="20" t="str">
        <f>IF('Master Plan'!$G24=H$3,"R",IF('Master Plan'!$H24=H$3,"A",IF('Master Plan'!$I24=H$3,"C",IF('Master Plan'!$J24=H$3,"I",""))))</f>
        <v/>
      </c>
      <c r="I24" s="20" t="str">
        <f>IF('Master Plan'!$G24=I$3,"R",IF('Master Plan'!$H24=I$3,"A",IF('Master Plan'!$I24=I$3,"C",IF('Master Plan'!$J24=I$3,"I",""))))</f>
        <v/>
      </c>
      <c r="J24" s="20" t="str">
        <f>IF('Master Plan'!$G24=J$3,"R",IF('Master Plan'!$H24=J$3,"A",IF('Master Plan'!$I24=J$3,"C",IF('Master Plan'!$J24=J$3,"I",""))))</f>
        <v/>
      </c>
      <c r="K24" s="20" t="str">
        <f>IF('Master Plan'!$G24=K$3,"R",IF('Master Plan'!$H24=K$3,"A",IF('Master Plan'!$I24=K$3,"C",IF('Master Plan'!$J24=K$3,"I",""))))</f>
        <v/>
      </c>
      <c r="L24" s="20" t="str">
        <f>IF('Master Plan'!$G24=L$3,"R",IF('Master Plan'!$H24=L$3,"A",IF('Master Plan'!$I24=L$3,"C",IF('Master Plan'!$J24=L$3,"I",""))))</f>
        <v>I</v>
      </c>
      <c r="M24" s="20" t="str">
        <f>IF('Master Plan'!$G24=M$3,"R",IF('Master Plan'!$H24=M$3,"A",IF('Master Plan'!$I24=M$3,"C",IF('Master Plan'!$J24=M$3,"I",""))))</f>
        <v/>
      </c>
      <c r="N24" s="20" t="str">
        <f>IF('Master Plan'!$G24=N$3,"R",IF('Master Plan'!$H24=N$3,"A",IF('Master Plan'!$I24=N$3,"C",IF('Master Plan'!$J24=N$3,"I",""))))</f>
        <v/>
      </c>
      <c r="O24" s="20" t="str">
        <f>IF('Master Plan'!$G24=O$3,"R",IF('Master Plan'!$H24=O$3,"A",IF('Master Plan'!$I24=O$3,"C",IF('Master Plan'!$J24=O$3,"I",""))))</f>
        <v>C</v>
      </c>
      <c r="P24" s="20" t="str">
        <f>IF('Master Plan'!$G24=P$3,"R",IF('Master Plan'!$H24=P$3,"A",IF('Master Plan'!$I24=P$3,"C",IF('Master Plan'!$J24=P$3,"I",""))))</f>
        <v>R</v>
      </c>
      <c r="Q24" s="20" t="str">
        <f>IF('Master Plan'!$G24=Q$3,"R",IF('Master Plan'!$H24=Q$3,"A",IF('Master Plan'!$I24=Q$3,"C",IF('Master Plan'!$J24=Q$3,"I",""))))</f>
        <v/>
      </c>
      <c r="R24" s="20" t="str">
        <f>IF('Master Plan'!$G24=R$3,"R",IF('Master Plan'!$H24=R$3,"A",IF('Master Plan'!$I24=R$3,"C",IF('Master Plan'!$J24=R$3,"I",""))))</f>
        <v/>
      </c>
      <c r="S24" s="20" t="str">
        <f>IF('Master Plan'!$G24=S$3,"R",IF('Master Plan'!$H24=S$3,"A",IF('Master Plan'!$I24=S$3,"C",IF('Master Plan'!$J24=S$3,"I",""))))</f>
        <v/>
      </c>
      <c r="T24" s="20" t="str">
        <f>IF('Master Plan'!$G24=T$3,"R",IF('Master Plan'!$H24=T$3,"A",IF('Master Plan'!$I24=T$3,"C",IF('Master Plan'!$J24=T$3,"I",""))))</f>
        <v/>
      </c>
      <c r="U24" s="20" t="str">
        <f>IF('Master Plan'!$G24=U$3,"R",IF('Master Plan'!$H24=U$3,"A",IF('Master Plan'!$I24=U$3,"C",IF('Master Plan'!$J24=U$3,"I",""))))</f>
        <v/>
      </c>
      <c r="V24" s="20" t="str">
        <f>IF('Master Plan'!$G24=V$3,"R",IF('Master Plan'!$H24=V$3,"A",IF('Master Plan'!$I24=V$3,"C",IF('Master Plan'!$J24=V$3,"I",""))))</f>
        <v/>
      </c>
      <c r="W24" s="20" t="str">
        <f>IF('Master Plan'!$G24=W$3,"R",IF('Master Plan'!$H24=W$3,"A",IF('Master Plan'!$I24=W$3,"C",IF('Master Plan'!$J24=W$3,"I",""))))</f>
        <v/>
      </c>
      <c r="X24" s="20" t="str">
        <f>IF('Master Plan'!$G24=X$3,"R",IF('Master Plan'!$H24=X$3,"A",IF('Master Plan'!$I24=X$3,"C",IF('Master Plan'!$J24=X$3,"I",""))))</f>
        <v/>
      </c>
      <c r="Y24" s="20">
        <f t="shared" si="0"/>
        <v>1</v>
      </c>
      <c r="Z24" s="20">
        <f t="shared" si="1"/>
        <v>0</v>
      </c>
      <c r="AA24" s="20">
        <f t="shared" si="2"/>
        <v>1</v>
      </c>
      <c r="AB24" s="20">
        <f t="shared" si="3"/>
        <v>1</v>
      </c>
    </row>
    <row r="25" spans="1:28" ht="15" customHeight="1" x14ac:dyDescent="0.2">
      <c r="A25" s="35" t="str">
        <f>'Master Plan'!A25</f>
        <v>T-021</v>
      </c>
      <c r="B25" s="35" t="str">
        <f>'Master Plan'!B25</f>
        <v>2. Planning &amp; Design</v>
      </c>
      <c r="C25" s="35" t="str">
        <f>'Master Plan'!E25</f>
        <v>Change Plan</v>
      </c>
      <c r="D25" s="35" t="str">
        <f>'Master Plan'!N25</f>
        <v>Not Started</v>
      </c>
      <c r="E25" s="20" t="str">
        <f>IF('Master Plan'!$G25=E$3,"R",IF('Master Plan'!$H25=E$3,"A",IF('Master Plan'!$I25=E$3,"C",IF('Master Plan'!$J25=E$3,"I",""))))</f>
        <v/>
      </c>
      <c r="F25" s="20" t="str">
        <f>IF('Master Plan'!$G25=F$3,"R",IF('Master Plan'!$H25=F$3,"A",IF('Master Plan'!$I25=F$3,"C",IF('Master Plan'!$J25=F$3,"I",""))))</f>
        <v>I</v>
      </c>
      <c r="G25" s="20" t="str">
        <f>IF('Master Plan'!$G25=G$3,"R",IF('Master Plan'!$H25=G$3,"A",IF('Master Plan'!$I25=G$3,"C",IF('Master Plan'!$J25=G$3,"I",""))))</f>
        <v/>
      </c>
      <c r="H25" s="20" t="str">
        <f>IF('Master Plan'!$G25=H$3,"R",IF('Master Plan'!$H25=H$3,"A",IF('Master Plan'!$I25=H$3,"C",IF('Master Plan'!$J25=H$3,"I",""))))</f>
        <v/>
      </c>
      <c r="I25" s="20" t="str">
        <f>IF('Master Plan'!$G25=I$3,"R",IF('Master Plan'!$H25=I$3,"A",IF('Master Plan'!$I25=I$3,"C",IF('Master Plan'!$J25=I$3,"I",""))))</f>
        <v/>
      </c>
      <c r="J25" s="20" t="str">
        <f>IF('Master Plan'!$G25=J$3,"R",IF('Master Plan'!$H25=J$3,"A",IF('Master Plan'!$I25=J$3,"C",IF('Master Plan'!$J25=J$3,"I",""))))</f>
        <v/>
      </c>
      <c r="K25" s="20" t="str">
        <f>IF('Master Plan'!$G25=K$3,"R",IF('Master Plan'!$H25=K$3,"A",IF('Master Plan'!$I25=K$3,"C",IF('Master Plan'!$J25=K$3,"I",""))))</f>
        <v/>
      </c>
      <c r="L25" s="20" t="str">
        <f>IF('Master Plan'!$G25=L$3,"R",IF('Master Plan'!$H25=L$3,"A",IF('Master Plan'!$I25=L$3,"C",IF('Master Plan'!$J25=L$3,"I",""))))</f>
        <v/>
      </c>
      <c r="M25" s="20" t="str">
        <f>IF('Master Plan'!$G25=M$3,"R",IF('Master Plan'!$H25=M$3,"A",IF('Master Plan'!$I25=M$3,"C",IF('Master Plan'!$J25=M$3,"I",""))))</f>
        <v/>
      </c>
      <c r="N25" s="20" t="str">
        <f>IF('Master Plan'!$G25=N$3,"R",IF('Master Plan'!$H25=N$3,"A",IF('Master Plan'!$I25=N$3,"C",IF('Master Plan'!$J25=N$3,"I",""))))</f>
        <v/>
      </c>
      <c r="O25" s="20" t="str">
        <f>IF('Master Plan'!$G25=O$3,"R",IF('Master Plan'!$H25=O$3,"A",IF('Master Plan'!$I25=O$3,"C",IF('Master Plan'!$J25=O$3,"I",""))))</f>
        <v>C</v>
      </c>
      <c r="P25" s="20" t="str">
        <f>IF('Master Plan'!$G25=P$3,"R",IF('Master Plan'!$H25=P$3,"A",IF('Master Plan'!$I25=P$3,"C",IF('Master Plan'!$J25=P$3,"I",""))))</f>
        <v/>
      </c>
      <c r="Q25" s="20" t="str">
        <f>IF('Master Plan'!$G25=Q$3,"R",IF('Master Plan'!$H25=Q$3,"A",IF('Master Plan'!$I25=Q$3,"C",IF('Master Plan'!$J25=Q$3,"I",""))))</f>
        <v/>
      </c>
      <c r="R25" s="20" t="str">
        <f>IF('Master Plan'!$G25=R$3,"R",IF('Master Plan'!$H25=R$3,"A",IF('Master Plan'!$I25=R$3,"C",IF('Master Plan'!$J25=R$3,"I",""))))</f>
        <v/>
      </c>
      <c r="S25" s="20" t="str">
        <f>IF('Master Plan'!$G25=S$3,"R",IF('Master Plan'!$H25=S$3,"A",IF('Master Plan'!$I25=S$3,"C",IF('Master Plan'!$J25=S$3,"I",""))))</f>
        <v/>
      </c>
      <c r="T25" s="20" t="str">
        <f>IF('Master Plan'!$G25=T$3,"R",IF('Master Plan'!$H25=T$3,"A",IF('Master Plan'!$I25=T$3,"C",IF('Master Plan'!$J25=T$3,"I",""))))</f>
        <v/>
      </c>
      <c r="U25" s="20" t="str">
        <f>IF('Master Plan'!$G25=U$3,"R",IF('Master Plan'!$H25=U$3,"A",IF('Master Plan'!$I25=U$3,"C",IF('Master Plan'!$J25=U$3,"I",""))))</f>
        <v>R</v>
      </c>
      <c r="V25" s="20" t="str">
        <f>IF('Master Plan'!$G25=V$3,"R",IF('Master Plan'!$H25=V$3,"A",IF('Master Plan'!$I25=V$3,"C",IF('Master Plan'!$J25=V$3,"I",""))))</f>
        <v/>
      </c>
      <c r="W25" s="20" t="str">
        <f>IF('Master Plan'!$G25=W$3,"R",IF('Master Plan'!$H25=W$3,"A",IF('Master Plan'!$I25=W$3,"C",IF('Master Plan'!$J25=W$3,"I",""))))</f>
        <v/>
      </c>
      <c r="X25" s="20" t="str">
        <f>IF('Master Plan'!$G25=X$3,"R",IF('Master Plan'!$H25=X$3,"A",IF('Master Plan'!$I25=X$3,"C",IF('Master Plan'!$J25=X$3,"I",""))))</f>
        <v/>
      </c>
      <c r="Y25" s="20">
        <f t="shared" si="0"/>
        <v>1</v>
      </c>
      <c r="Z25" s="20">
        <f t="shared" si="1"/>
        <v>0</v>
      </c>
      <c r="AA25" s="20">
        <f t="shared" si="2"/>
        <v>1</v>
      </c>
      <c r="AB25" s="20">
        <f t="shared" si="3"/>
        <v>1</v>
      </c>
    </row>
    <row r="26" spans="1:28" ht="15" customHeight="1" x14ac:dyDescent="0.2">
      <c r="A26" s="35" t="str">
        <f>'Master Plan'!A26</f>
        <v>T-022</v>
      </c>
      <c r="B26" s="35" t="str">
        <f>'Master Plan'!B26</f>
        <v>2. Planning &amp; Design</v>
      </c>
      <c r="C26" s="35" t="str">
        <f>'Master Plan'!E26</f>
        <v>Vendor Contracts</v>
      </c>
      <c r="D26" s="35" t="str">
        <f>'Master Plan'!N26</f>
        <v>Not Started</v>
      </c>
      <c r="E26" s="20" t="str">
        <f>IF('Master Plan'!$G26=E$3,"R",IF('Master Plan'!$H26=E$3,"A",IF('Master Plan'!$I26=E$3,"C",IF('Master Plan'!$J26=E$3,"I",""))))</f>
        <v/>
      </c>
      <c r="F26" s="20" t="str">
        <f>IF('Master Plan'!$G26=F$3,"R",IF('Master Plan'!$H26=F$3,"A",IF('Master Plan'!$I26=F$3,"C",IF('Master Plan'!$J26=F$3,"I",""))))</f>
        <v>I</v>
      </c>
      <c r="G26" s="20" t="str">
        <f>IF('Master Plan'!$G26=G$3,"R",IF('Master Plan'!$H26=G$3,"A",IF('Master Plan'!$I26=G$3,"C",IF('Master Plan'!$J26=G$3,"I",""))))</f>
        <v/>
      </c>
      <c r="H26" s="20" t="str">
        <f>IF('Master Plan'!$G26=H$3,"R",IF('Master Plan'!$H26=H$3,"A",IF('Master Plan'!$I26=H$3,"C",IF('Master Plan'!$J26=H$3,"I",""))))</f>
        <v/>
      </c>
      <c r="I26" s="20" t="str">
        <f>IF('Master Plan'!$G26=I$3,"R",IF('Master Plan'!$H26=I$3,"A",IF('Master Plan'!$I26=I$3,"C",IF('Master Plan'!$J26=I$3,"I",""))))</f>
        <v/>
      </c>
      <c r="J26" s="20" t="str">
        <f>IF('Master Plan'!$G26=J$3,"R",IF('Master Plan'!$H26=J$3,"A",IF('Master Plan'!$I26=J$3,"C",IF('Master Plan'!$J26=J$3,"I",""))))</f>
        <v/>
      </c>
      <c r="K26" s="20" t="str">
        <f>IF('Master Plan'!$G26=K$3,"R",IF('Master Plan'!$H26=K$3,"A",IF('Master Plan'!$I26=K$3,"C",IF('Master Plan'!$J26=K$3,"I",""))))</f>
        <v/>
      </c>
      <c r="L26" s="20" t="str">
        <f>IF('Master Plan'!$G26=L$3,"R",IF('Master Plan'!$H26=L$3,"A",IF('Master Plan'!$I26=L$3,"C",IF('Master Plan'!$J26=L$3,"I",""))))</f>
        <v/>
      </c>
      <c r="M26" s="20" t="str">
        <f>IF('Master Plan'!$G26=M$3,"R",IF('Master Plan'!$H26=M$3,"A",IF('Master Plan'!$I26=M$3,"C",IF('Master Plan'!$J26=M$3,"I",""))))</f>
        <v/>
      </c>
      <c r="N26" s="20" t="str">
        <f>IF('Master Plan'!$G26=N$3,"R",IF('Master Plan'!$H26=N$3,"A",IF('Master Plan'!$I26=N$3,"C",IF('Master Plan'!$J26=N$3,"I",""))))</f>
        <v/>
      </c>
      <c r="O26" s="20" t="str">
        <f>IF('Master Plan'!$G26=O$3,"R",IF('Master Plan'!$H26=O$3,"A",IF('Master Plan'!$I26=O$3,"C",IF('Master Plan'!$J26=O$3,"I",""))))</f>
        <v/>
      </c>
      <c r="P26" s="20" t="str">
        <f>IF('Master Plan'!$G26=P$3,"R",IF('Master Plan'!$H26=P$3,"A",IF('Master Plan'!$I26=P$3,"C",IF('Master Plan'!$J26=P$3,"I",""))))</f>
        <v/>
      </c>
      <c r="Q26" s="20" t="str">
        <f>IF('Master Plan'!$G26=Q$3,"R",IF('Master Plan'!$H26=Q$3,"A",IF('Master Plan'!$I26=Q$3,"C",IF('Master Plan'!$J26=Q$3,"I",""))))</f>
        <v>R</v>
      </c>
      <c r="R26" s="20" t="str">
        <f>IF('Master Plan'!$G26=R$3,"R",IF('Master Plan'!$H26=R$3,"A",IF('Master Plan'!$I26=R$3,"C",IF('Master Plan'!$J26=R$3,"I",""))))</f>
        <v/>
      </c>
      <c r="S26" s="20" t="str">
        <f>IF('Master Plan'!$G26=S$3,"R",IF('Master Plan'!$H26=S$3,"A",IF('Master Plan'!$I26=S$3,"C",IF('Master Plan'!$J26=S$3,"I",""))))</f>
        <v/>
      </c>
      <c r="T26" s="20" t="str">
        <f>IF('Master Plan'!$G26=T$3,"R",IF('Master Plan'!$H26=T$3,"A",IF('Master Plan'!$I26=T$3,"C",IF('Master Plan'!$J26=T$3,"I",""))))</f>
        <v>C</v>
      </c>
      <c r="U26" s="20" t="str">
        <f>IF('Master Plan'!$G26=U$3,"R",IF('Master Plan'!$H26=U$3,"A",IF('Master Plan'!$I26=U$3,"C",IF('Master Plan'!$J26=U$3,"I",""))))</f>
        <v/>
      </c>
      <c r="V26" s="20" t="str">
        <f>IF('Master Plan'!$G26=V$3,"R",IF('Master Plan'!$H26=V$3,"A",IF('Master Plan'!$I26=V$3,"C",IF('Master Plan'!$J26=V$3,"I",""))))</f>
        <v/>
      </c>
      <c r="W26" s="20" t="str">
        <f>IF('Master Plan'!$G26=W$3,"R",IF('Master Plan'!$H26=W$3,"A",IF('Master Plan'!$I26=W$3,"C",IF('Master Plan'!$J26=W$3,"I",""))))</f>
        <v/>
      </c>
      <c r="X26" s="20" t="str">
        <f>IF('Master Plan'!$G26=X$3,"R",IF('Master Plan'!$H26=X$3,"A",IF('Master Plan'!$I26=X$3,"C",IF('Master Plan'!$J26=X$3,"I",""))))</f>
        <v/>
      </c>
      <c r="Y26" s="20">
        <f t="shared" si="0"/>
        <v>1</v>
      </c>
      <c r="Z26" s="20">
        <f t="shared" si="1"/>
        <v>0</v>
      </c>
      <c r="AA26" s="20">
        <f t="shared" si="2"/>
        <v>1</v>
      </c>
      <c r="AB26" s="20">
        <f t="shared" si="3"/>
        <v>1</v>
      </c>
    </row>
    <row r="27" spans="1:28" ht="15" customHeight="1" x14ac:dyDescent="0.2">
      <c r="A27" s="35" t="str">
        <f>'Master Plan'!A27</f>
        <v>T-023</v>
      </c>
      <c r="B27" s="35" t="str">
        <f>'Master Plan'!B27</f>
        <v>2. Planning &amp; Design</v>
      </c>
      <c r="C27" s="35" t="str">
        <f>'Master Plan'!E27</f>
        <v>Gate 2 Review</v>
      </c>
      <c r="D27" s="35" t="str">
        <f>'Master Plan'!N27</f>
        <v>Not Started</v>
      </c>
      <c r="E27" s="20" t="str">
        <f>IF('Master Plan'!$G27=E$3,"R",IF('Master Plan'!$H27=E$3,"A",IF('Master Plan'!$I27=E$3,"C",IF('Master Plan'!$J27=E$3,"I",""))))</f>
        <v>A</v>
      </c>
      <c r="F27" s="20" t="str">
        <f>IF('Master Plan'!$G27=F$3,"R",IF('Master Plan'!$H27=F$3,"A",IF('Master Plan'!$I27=F$3,"C",IF('Master Plan'!$J27=F$3,"I",""))))</f>
        <v>R</v>
      </c>
      <c r="G27" s="20" t="str">
        <f>IF('Master Plan'!$G27=G$3,"R",IF('Master Plan'!$H27=G$3,"A",IF('Master Plan'!$I27=G$3,"C",IF('Master Plan'!$J27=G$3,"I",""))))</f>
        <v/>
      </c>
      <c r="H27" s="20" t="str">
        <f>IF('Master Plan'!$G27=H$3,"R",IF('Master Plan'!$H27=H$3,"A",IF('Master Plan'!$I27=H$3,"C",IF('Master Plan'!$J27=H$3,"I",""))))</f>
        <v/>
      </c>
      <c r="I27" s="20" t="str">
        <f>IF('Master Plan'!$G27=I$3,"R",IF('Master Plan'!$H27=I$3,"A",IF('Master Plan'!$I27=I$3,"C",IF('Master Plan'!$J27=I$3,"I",""))))</f>
        <v>C</v>
      </c>
      <c r="J27" s="20" t="str">
        <f>IF('Master Plan'!$G27=J$3,"R",IF('Master Plan'!$H27=J$3,"A",IF('Master Plan'!$I27=J$3,"C",IF('Master Plan'!$J27=J$3,"I",""))))</f>
        <v/>
      </c>
      <c r="K27" s="20" t="str">
        <f>IF('Master Plan'!$G27=K$3,"R",IF('Master Plan'!$H27=K$3,"A",IF('Master Plan'!$I27=K$3,"C",IF('Master Plan'!$J27=K$3,"I",""))))</f>
        <v/>
      </c>
      <c r="L27" s="20" t="str">
        <f>IF('Master Plan'!$G27=L$3,"R",IF('Master Plan'!$H27=L$3,"A",IF('Master Plan'!$I27=L$3,"C",IF('Master Plan'!$J27=L$3,"I",""))))</f>
        <v/>
      </c>
      <c r="M27" s="20" t="str">
        <f>IF('Master Plan'!$G27=M$3,"R",IF('Master Plan'!$H27=M$3,"A",IF('Master Plan'!$I27=M$3,"C",IF('Master Plan'!$J27=M$3,"I",""))))</f>
        <v/>
      </c>
      <c r="N27" s="20" t="str">
        <f>IF('Master Plan'!$G27=N$3,"R",IF('Master Plan'!$H27=N$3,"A",IF('Master Plan'!$I27=N$3,"C",IF('Master Plan'!$J27=N$3,"I",""))))</f>
        <v/>
      </c>
      <c r="O27" s="20" t="str">
        <f>IF('Master Plan'!$G27=O$3,"R",IF('Master Plan'!$H27=O$3,"A",IF('Master Plan'!$I27=O$3,"C",IF('Master Plan'!$J27=O$3,"I",""))))</f>
        <v>I</v>
      </c>
      <c r="P27" s="20" t="str">
        <f>IF('Master Plan'!$G27=P$3,"R",IF('Master Plan'!$H27=P$3,"A",IF('Master Plan'!$I27=P$3,"C",IF('Master Plan'!$J27=P$3,"I",""))))</f>
        <v/>
      </c>
      <c r="Q27" s="20" t="str">
        <f>IF('Master Plan'!$G27=Q$3,"R",IF('Master Plan'!$H27=Q$3,"A",IF('Master Plan'!$I27=Q$3,"C",IF('Master Plan'!$J27=Q$3,"I",""))))</f>
        <v/>
      </c>
      <c r="R27" s="20" t="str">
        <f>IF('Master Plan'!$G27=R$3,"R",IF('Master Plan'!$H27=R$3,"A",IF('Master Plan'!$I27=R$3,"C",IF('Master Plan'!$J27=R$3,"I",""))))</f>
        <v/>
      </c>
      <c r="S27" s="20" t="str">
        <f>IF('Master Plan'!$G27=S$3,"R",IF('Master Plan'!$H27=S$3,"A",IF('Master Plan'!$I27=S$3,"C",IF('Master Plan'!$J27=S$3,"I",""))))</f>
        <v/>
      </c>
      <c r="T27" s="20" t="str">
        <f>IF('Master Plan'!$G27=T$3,"R",IF('Master Plan'!$H27=T$3,"A",IF('Master Plan'!$I27=T$3,"C",IF('Master Plan'!$J27=T$3,"I",""))))</f>
        <v/>
      </c>
      <c r="U27" s="20" t="str">
        <f>IF('Master Plan'!$G27=U$3,"R",IF('Master Plan'!$H27=U$3,"A",IF('Master Plan'!$I27=U$3,"C",IF('Master Plan'!$J27=U$3,"I",""))))</f>
        <v/>
      </c>
      <c r="V27" s="20" t="str">
        <f>IF('Master Plan'!$G27=V$3,"R",IF('Master Plan'!$H27=V$3,"A",IF('Master Plan'!$I27=V$3,"C",IF('Master Plan'!$J27=V$3,"I",""))))</f>
        <v/>
      </c>
      <c r="W27" s="20" t="str">
        <f>IF('Master Plan'!$G27=W$3,"R",IF('Master Plan'!$H27=W$3,"A",IF('Master Plan'!$I27=W$3,"C",IF('Master Plan'!$J27=W$3,"I",""))))</f>
        <v/>
      </c>
      <c r="X27" s="20" t="str">
        <f>IF('Master Plan'!$G27=X$3,"R",IF('Master Plan'!$H27=X$3,"A",IF('Master Plan'!$I27=X$3,"C",IF('Master Plan'!$J27=X$3,"I",""))))</f>
        <v/>
      </c>
      <c r="Y27" s="20">
        <f t="shared" si="0"/>
        <v>1</v>
      </c>
      <c r="Z27" s="20">
        <f t="shared" si="1"/>
        <v>1</v>
      </c>
      <c r="AA27" s="20">
        <f t="shared" si="2"/>
        <v>1</v>
      </c>
      <c r="AB27" s="20">
        <f t="shared" si="3"/>
        <v>1</v>
      </c>
    </row>
    <row r="28" spans="1:28" ht="15" customHeight="1" x14ac:dyDescent="0.2">
      <c r="A28" s="35" t="str">
        <f>'Master Plan'!A28</f>
        <v>T-024</v>
      </c>
      <c r="B28" s="35" t="str">
        <f>'Master Plan'!B28</f>
        <v>3. Build &amp; Configure</v>
      </c>
      <c r="C28" s="35" t="str">
        <f>'Master Plan'!E28</f>
        <v>WMS Configuration</v>
      </c>
      <c r="D28" s="35" t="str">
        <f>'Master Plan'!N28</f>
        <v>Not Started</v>
      </c>
      <c r="E28" s="20" t="str">
        <f>IF('Master Plan'!$G28=E$3,"R",IF('Master Plan'!$H28=E$3,"A",IF('Master Plan'!$I28=E$3,"C",IF('Master Plan'!$J28=E$3,"I",""))))</f>
        <v/>
      </c>
      <c r="F28" s="20" t="str">
        <f>IF('Master Plan'!$G28=F$3,"R",IF('Master Plan'!$H28=F$3,"A",IF('Master Plan'!$I28=F$3,"C",IF('Master Plan'!$J28=F$3,"I",""))))</f>
        <v/>
      </c>
      <c r="G28" s="20" t="str">
        <f>IF('Master Plan'!$G28=G$3,"R",IF('Master Plan'!$H28=G$3,"A",IF('Master Plan'!$I28=G$3,"C",IF('Master Plan'!$J28=G$3,"I",""))))</f>
        <v/>
      </c>
      <c r="H28" s="20" t="str">
        <f>IF('Master Plan'!$G28=H$3,"R",IF('Master Plan'!$H28=H$3,"A",IF('Master Plan'!$I28=H$3,"C",IF('Master Plan'!$J28=H$3,"I",""))))</f>
        <v/>
      </c>
      <c r="I28" s="20" t="str">
        <f>IF('Master Plan'!$G28=I$3,"R",IF('Master Plan'!$H28=I$3,"A",IF('Master Plan'!$I28=I$3,"C",IF('Master Plan'!$J28=I$3,"I",""))))</f>
        <v>A</v>
      </c>
      <c r="J28" s="20" t="str">
        <f>IF('Master Plan'!$G28=J$3,"R",IF('Master Plan'!$H28=J$3,"A",IF('Master Plan'!$I28=J$3,"C",IF('Master Plan'!$J28=J$3,"I",""))))</f>
        <v>R</v>
      </c>
      <c r="K28" s="20" t="str">
        <f>IF('Master Plan'!$G28=K$3,"R",IF('Master Plan'!$H28=K$3,"A",IF('Master Plan'!$I28=K$3,"C",IF('Master Plan'!$J28=K$3,"I",""))))</f>
        <v/>
      </c>
      <c r="L28" s="20" t="str">
        <f>IF('Master Plan'!$G28=L$3,"R",IF('Master Plan'!$H28=L$3,"A",IF('Master Plan'!$I28=L$3,"C",IF('Master Plan'!$J28=L$3,"I",""))))</f>
        <v/>
      </c>
      <c r="M28" s="20" t="str">
        <f>IF('Master Plan'!$G28=M$3,"R",IF('Master Plan'!$H28=M$3,"A",IF('Master Plan'!$I28=M$3,"C",IF('Master Plan'!$J28=M$3,"I",""))))</f>
        <v/>
      </c>
      <c r="N28" s="20" t="str">
        <f>IF('Master Plan'!$G28=N$3,"R",IF('Master Plan'!$H28=N$3,"A",IF('Master Plan'!$I28=N$3,"C",IF('Master Plan'!$J28=N$3,"I",""))))</f>
        <v>I</v>
      </c>
      <c r="O28" s="20" t="str">
        <f>IF('Master Plan'!$G28=O$3,"R",IF('Master Plan'!$H28=O$3,"A",IF('Master Plan'!$I28=O$3,"C",IF('Master Plan'!$J28=O$3,"I",""))))</f>
        <v>C</v>
      </c>
      <c r="P28" s="20" t="str">
        <f>IF('Master Plan'!$G28=P$3,"R",IF('Master Plan'!$H28=P$3,"A",IF('Master Plan'!$I28=P$3,"C",IF('Master Plan'!$J28=P$3,"I",""))))</f>
        <v/>
      </c>
      <c r="Q28" s="20" t="str">
        <f>IF('Master Plan'!$G28=Q$3,"R",IF('Master Plan'!$H28=Q$3,"A",IF('Master Plan'!$I28=Q$3,"C",IF('Master Plan'!$J28=Q$3,"I",""))))</f>
        <v/>
      </c>
      <c r="R28" s="20" t="str">
        <f>IF('Master Plan'!$G28=R$3,"R",IF('Master Plan'!$H28=R$3,"A",IF('Master Plan'!$I28=R$3,"C",IF('Master Plan'!$J28=R$3,"I",""))))</f>
        <v/>
      </c>
      <c r="S28" s="20" t="str">
        <f>IF('Master Plan'!$G28=S$3,"R",IF('Master Plan'!$H28=S$3,"A",IF('Master Plan'!$I28=S$3,"C",IF('Master Plan'!$J28=S$3,"I",""))))</f>
        <v/>
      </c>
      <c r="T28" s="20" t="str">
        <f>IF('Master Plan'!$G28=T$3,"R",IF('Master Plan'!$H28=T$3,"A",IF('Master Plan'!$I28=T$3,"C",IF('Master Plan'!$J28=T$3,"I",""))))</f>
        <v/>
      </c>
      <c r="U28" s="20" t="str">
        <f>IF('Master Plan'!$G28=U$3,"R",IF('Master Plan'!$H28=U$3,"A",IF('Master Plan'!$I28=U$3,"C",IF('Master Plan'!$J28=U$3,"I",""))))</f>
        <v/>
      </c>
      <c r="V28" s="20" t="str">
        <f>IF('Master Plan'!$G28=V$3,"R",IF('Master Plan'!$H28=V$3,"A",IF('Master Plan'!$I28=V$3,"C",IF('Master Plan'!$J28=V$3,"I",""))))</f>
        <v/>
      </c>
      <c r="W28" s="20" t="str">
        <f>IF('Master Plan'!$G28=W$3,"R",IF('Master Plan'!$H28=W$3,"A",IF('Master Plan'!$I28=W$3,"C",IF('Master Plan'!$J28=W$3,"I",""))))</f>
        <v/>
      </c>
      <c r="X28" s="20" t="str">
        <f>IF('Master Plan'!$G28=X$3,"R",IF('Master Plan'!$H28=X$3,"A",IF('Master Plan'!$I28=X$3,"C",IF('Master Plan'!$J28=X$3,"I",""))))</f>
        <v/>
      </c>
      <c r="Y28" s="20">
        <f t="shared" si="0"/>
        <v>1</v>
      </c>
      <c r="Z28" s="20">
        <f t="shared" si="1"/>
        <v>1</v>
      </c>
      <c r="AA28" s="20">
        <f t="shared" si="2"/>
        <v>1</v>
      </c>
      <c r="AB28" s="20">
        <f t="shared" si="3"/>
        <v>1</v>
      </c>
    </row>
    <row r="29" spans="1:28" ht="15" customHeight="1" x14ac:dyDescent="0.2">
      <c r="A29" s="35" t="str">
        <f>'Master Plan'!A29</f>
        <v>T-025</v>
      </c>
      <c r="B29" s="35" t="str">
        <f>'Master Plan'!B29</f>
        <v>3. Build &amp; Configure</v>
      </c>
      <c r="C29" s="35" t="str">
        <f>'Master Plan'!E29</f>
        <v>WMS Custom Development</v>
      </c>
      <c r="D29" s="35" t="str">
        <f>'Master Plan'!N29</f>
        <v>Not Started</v>
      </c>
      <c r="E29" s="20" t="str">
        <f>IF('Master Plan'!$G29=E$3,"R",IF('Master Plan'!$H29=E$3,"A",IF('Master Plan'!$I29=E$3,"C",IF('Master Plan'!$J29=E$3,"I",""))))</f>
        <v/>
      </c>
      <c r="F29" s="20" t="str">
        <f>IF('Master Plan'!$G29=F$3,"R",IF('Master Plan'!$H29=F$3,"A",IF('Master Plan'!$I29=F$3,"C",IF('Master Plan'!$J29=F$3,"I",""))))</f>
        <v>I</v>
      </c>
      <c r="G29" s="20" t="str">
        <f>IF('Master Plan'!$G29=G$3,"R",IF('Master Plan'!$H29=G$3,"A",IF('Master Plan'!$I29=G$3,"C",IF('Master Plan'!$J29=G$3,"I",""))))</f>
        <v/>
      </c>
      <c r="H29" s="20" t="str">
        <f>IF('Master Plan'!$G29=H$3,"R",IF('Master Plan'!$H29=H$3,"A",IF('Master Plan'!$I29=H$3,"C",IF('Master Plan'!$J29=H$3,"I",""))))</f>
        <v/>
      </c>
      <c r="I29" s="20" t="str">
        <f>IF('Master Plan'!$G29=I$3,"R",IF('Master Plan'!$H29=I$3,"A",IF('Master Plan'!$I29=I$3,"C",IF('Master Plan'!$J29=I$3,"I",""))))</f>
        <v>A</v>
      </c>
      <c r="J29" s="20" t="str">
        <f>IF('Master Plan'!$G29=J$3,"R",IF('Master Plan'!$H29=J$3,"A",IF('Master Plan'!$I29=J$3,"C",IF('Master Plan'!$J29=J$3,"I",""))))</f>
        <v>R</v>
      </c>
      <c r="K29" s="20" t="str">
        <f>IF('Master Plan'!$G29=K$3,"R",IF('Master Plan'!$H29=K$3,"A",IF('Master Plan'!$I29=K$3,"C",IF('Master Plan'!$J29=K$3,"I",""))))</f>
        <v/>
      </c>
      <c r="L29" s="20" t="str">
        <f>IF('Master Plan'!$G29=L$3,"R",IF('Master Plan'!$H29=L$3,"A",IF('Master Plan'!$I29=L$3,"C",IF('Master Plan'!$J29=L$3,"I",""))))</f>
        <v/>
      </c>
      <c r="M29" s="20" t="str">
        <f>IF('Master Plan'!$G29=M$3,"R",IF('Master Plan'!$H29=M$3,"A",IF('Master Plan'!$I29=M$3,"C",IF('Master Plan'!$J29=M$3,"I",""))))</f>
        <v/>
      </c>
      <c r="N29" s="20" t="str">
        <f>IF('Master Plan'!$G29=N$3,"R",IF('Master Plan'!$H29=N$3,"A",IF('Master Plan'!$I29=N$3,"C",IF('Master Plan'!$J29=N$3,"I",""))))</f>
        <v>C</v>
      </c>
      <c r="O29" s="20" t="str">
        <f>IF('Master Plan'!$G29=O$3,"R",IF('Master Plan'!$H29=O$3,"A",IF('Master Plan'!$I29=O$3,"C",IF('Master Plan'!$J29=O$3,"I",""))))</f>
        <v/>
      </c>
      <c r="P29" s="20" t="str">
        <f>IF('Master Plan'!$G29=P$3,"R",IF('Master Plan'!$H29=P$3,"A",IF('Master Plan'!$I29=P$3,"C",IF('Master Plan'!$J29=P$3,"I",""))))</f>
        <v/>
      </c>
      <c r="Q29" s="20" t="str">
        <f>IF('Master Plan'!$G29=Q$3,"R",IF('Master Plan'!$H29=Q$3,"A",IF('Master Plan'!$I29=Q$3,"C",IF('Master Plan'!$J29=Q$3,"I",""))))</f>
        <v/>
      </c>
      <c r="R29" s="20" t="str">
        <f>IF('Master Plan'!$G29=R$3,"R",IF('Master Plan'!$H29=R$3,"A",IF('Master Plan'!$I29=R$3,"C",IF('Master Plan'!$J29=R$3,"I",""))))</f>
        <v/>
      </c>
      <c r="S29" s="20" t="str">
        <f>IF('Master Plan'!$G29=S$3,"R",IF('Master Plan'!$H29=S$3,"A",IF('Master Plan'!$I29=S$3,"C",IF('Master Plan'!$J29=S$3,"I",""))))</f>
        <v/>
      </c>
      <c r="T29" s="20" t="str">
        <f>IF('Master Plan'!$G29=T$3,"R",IF('Master Plan'!$H29=T$3,"A",IF('Master Plan'!$I29=T$3,"C",IF('Master Plan'!$J29=T$3,"I",""))))</f>
        <v/>
      </c>
      <c r="U29" s="20" t="str">
        <f>IF('Master Plan'!$G29=U$3,"R",IF('Master Plan'!$H29=U$3,"A",IF('Master Plan'!$I29=U$3,"C",IF('Master Plan'!$J29=U$3,"I",""))))</f>
        <v/>
      </c>
      <c r="V29" s="20" t="str">
        <f>IF('Master Plan'!$G29=V$3,"R",IF('Master Plan'!$H29=V$3,"A",IF('Master Plan'!$I29=V$3,"C",IF('Master Plan'!$J29=V$3,"I",""))))</f>
        <v/>
      </c>
      <c r="W29" s="20" t="str">
        <f>IF('Master Plan'!$G29=W$3,"R",IF('Master Plan'!$H29=W$3,"A",IF('Master Plan'!$I29=W$3,"C",IF('Master Plan'!$J29=W$3,"I",""))))</f>
        <v/>
      </c>
      <c r="X29" s="20" t="str">
        <f>IF('Master Plan'!$G29=X$3,"R",IF('Master Plan'!$H29=X$3,"A",IF('Master Plan'!$I29=X$3,"C",IF('Master Plan'!$J29=X$3,"I",""))))</f>
        <v/>
      </c>
      <c r="Y29" s="20">
        <f t="shared" si="0"/>
        <v>1</v>
      </c>
      <c r="Z29" s="20">
        <f t="shared" si="1"/>
        <v>1</v>
      </c>
      <c r="AA29" s="20">
        <f t="shared" si="2"/>
        <v>1</v>
      </c>
      <c r="AB29" s="20">
        <f t="shared" si="3"/>
        <v>1</v>
      </c>
    </row>
    <row r="30" spans="1:28" ht="15" customHeight="1" x14ac:dyDescent="0.2">
      <c r="A30" s="35" t="str">
        <f>'Master Plan'!A30</f>
        <v>T-026</v>
      </c>
      <c r="B30" s="35" t="str">
        <f>'Master Plan'!B30</f>
        <v>3. Build &amp; Configure</v>
      </c>
      <c r="C30" s="35" t="str">
        <f>'Master Plan'!E30</f>
        <v>Environment Build</v>
      </c>
      <c r="D30" s="35" t="str">
        <f>'Master Plan'!N30</f>
        <v>Not Started</v>
      </c>
      <c r="E30" s="20" t="str">
        <f>IF('Master Plan'!$G30=E$3,"R",IF('Master Plan'!$H30=E$3,"A",IF('Master Plan'!$I30=E$3,"C",IF('Master Plan'!$J30=E$3,"I",""))))</f>
        <v/>
      </c>
      <c r="F30" s="20" t="str">
        <f>IF('Master Plan'!$G30=F$3,"R",IF('Master Plan'!$H30=F$3,"A",IF('Master Plan'!$I30=F$3,"C",IF('Master Plan'!$J30=F$3,"I",""))))</f>
        <v/>
      </c>
      <c r="G30" s="20" t="str">
        <f>IF('Master Plan'!$G30=G$3,"R",IF('Master Plan'!$H30=G$3,"A",IF('Master Plan'!$I30=G$3,"C",IF('Master Plan'!$J30=G$3,"I",""))))</f>
        <v/>
      </c>
      <c r="H30" s="20" t="str">
        <f>IF('Master Plan'!$G30=H$3,"R",IF('Master Plan'!$H30=H$3,"A",IF('Master Plan'!$I30=H$3,"C",IF('Master Plan'!$J30=H$3,"I",""))))</f>
        <v/>
      </c>
      <c r="I30" s="20" t="str">
        <f>IF('Master Plan'!$G30=I$3,"R",IF('Master Plan'!$H30=I$3,"A",IF('Master Plan'!$I30=I$3,"C",IF('Master Plan'!$J30=I$3,"I",""))))</f>
        <v/>
      </c>
      <c r="J30" s="20" t="str">
        <f>IF('Master Plan'!$G30=J$3,"R",IF('Master Plan'!$H30=J$3,"A",IF('Master Plan'!$I30=J$3,"C",IF('Master Plan'!$J30=J$3,"I",""))))</f>
        <v>R</v>
      </c>
      <c r="K30" s="20" t="str">
        <f>IF('Master Plan'!$G30=K$3,"R",IF('Master Plan'!$H30=K$3,"A",IF('Master Plan'!$I30=K$3,"C",IF('Master Plan'!$J30=K$3,"I",""))))</f>
        <v/>
      </c>
      <c r="L30" s="20" t="str">
        <f>IF('Master Plan'!$G30=L$3,"R",IF('Master Plan'!$H30=L$3,"A",IF('Master Plan'!$I30=L$3,"C",IF('Master Plan'!$J30=L$3,"I",""))))</f>
        <v>C</v>
      </c>
      <c r="M30" s="20" t="str">
        <f>IF('Master Plan'!$G30=M$3,"R",IF('Master Plan'!$H30=M$3,"A",IF('Master Plan'!$I30=M$3,"C",IF('Master Plan'!$J30=M$3,"I",""))))</f>
        <v/>
      </c>
      <c r="N30" s="20" t="str">
        <f>IF('Master Plan'!$G30=N$3,"R",IF('Master Plan'!$H30=N$3,"A",IF('Master Plan'!$I30=N$3,"C",IF('Master Plan'!$J30=N$3,"I",""))))</f>
        <v>I</v>
      </c>
      <c r="O30" s="20" t="str">
        <f>IF('Master Plan'!$G30=O$3,"R",IF('Master Plan'!$H30=O$3,"A",IF('Master Plan'!$I30=O$3,"C",IF('Master Plan'!$J30=O$3,"I",""))))</f>
        <v/>
      </c>
      <c r="P30" s="20" t="str">
        <f>IF('Master Plan'!$G30=P$3,"R",IF('Master Plan'!$H30=P$3,"A",IF('Master Plan'!$I30=P$3,"C",IF('Master Plan'!$J30=P$3,"I",""))))</f>
        <v/>
      </c>
      <c r="Q30" s="20" t="str">
        <f>IF('Master Plan'!$G30=Q$3,"R",IF('Master Plan'!$H30=Q$3,"A",IF('Master Plan'!$I30=Q$3,"C",IF('Master Plan'!$J30=Q$3,"I",""))))</f>
        <v/>
      </c>
      <c r="R30" s="20" t="str">
        <f>IF('Master Plan'!$G30=R$3,"R",IF('Master Plan'!$H30=R$3,"A",IF('Master Plan'!$I30=R$3,"C",IF('Master Plan'!$J30=R$3,"I",""))))</f>
        <v/>
      </c>
      <c r="S30" s="20" t="str">
        <f>IF('Master Plan'!$G30=S$3,"R",IF('Master Plan'!$H30=S$3,"A",IF('Master Plan'!$I30=S$3,"C",IF('Master Plan'!$J30=S$3,"I",""))))</f>
        <v/>
      </c>
      <c r="T30" s="20" t="str">
        <f>IF('Master Plan'!$G30=T$3,"R",IF('Master Plan'!$H30=T$3,"A",IF('Master Plan'!$I30=T$3,"C",IF('Master Plan'!$J30=T$3,"I",""))))</f>
        <v/>
      </c>
      <c r="U30" s="20" t="str">
        <f>IF('Master Plan'!$G30=U$3,"R",IF('Master Plan'!$H30=U$3,"A",IF('Master Plan'!$I30=U$3,"C",IF('Master Plan'!$J30=U$3,"I",""))))</f>
        <v/>
      </c>
      <c r="V30" s="20" t="str">
        <f>IF('Master Plan'!$G30=V$3,"R",IF('Master Plan'!$H30=V$3,"A",IF('Master Plan'!$I30=V$3,"C",IF('Master Plan'!$J30=V$3,"I",""))))</f>
        <v>A</v>
      </c>
      <c r="W30" s="20" t="str">
        <f>IF('Master Plan'!$G30=W$3,"R",IF('Master Plan'!$H30=W$3,"A",IF('Master Plan'!$I30=W$3,"C",IF('Master Plan'!$J30=W$3,"I",""))))</f>
        <v/>
      </c>
      <c r="X30" s="20" t="str">
        <f>IF('Master Plan'!$G30=X$3,"R",IF('Master Plan'!$H30=X$3,"A",IF('Master Plan'!$I30=X$3,"C",IF('Master Plan'!$J30=X$3,"I",""))))</f>
        <v/>
      </c>
      <c r="Y30" s="20">
        <f t="shared" si="0"/>
        <v>1</v>
      </c>
      <c r="Z30" s="20">
        <f t="shared" si="1"/>
        <v>1</v>
      </c>
      <c r="AA30" s="20">
        <f t="shared" si="2"/>
        <v>1</v>
      </c>
      <c r="AB30" s="20">
        <f t="shared" si="3"/>
        <v>1</v>
      </c>
    </row>
    <row r="31" spans="1:28" ht="15" customHeight="1" x14ac:dyDescent="0.2">
      <c r="A31" s="35" t="str">
        <f>'Master Plan'!A31</f>
        <v>T-027</v>
      </c>
      <c r="B31" s="35" t="str">
        <f>'Master Plan'!B31</f>
        <v>3. Build &amp; Configure</v>
      </c>
      <c r="C31" s="35" t="str">
        <f>'Master Plan'!E31</f>
        <v>Interface Development</v>
      </c>
      <c r="D31" s="35" t="str">
        <f>'Master Plan'!N31</f>
        <v>Not Started</v>
      </c>
      <c r="E31" s="20" t="str">
        <f>IF('Master Plan'!$G31=E$3,"R",IF('Master Plan'!$H31=E$3,"A",IF('Master Plan'!$I31=E$3,"C",IF('Master Plan'!$J31=E$3,"I",""))))</f>
        <v/>
      </c>
      <c r="F31" s="20" t="str">
        <f>IF('Master Plan'!$G31=F$3,"R",IF('Master Plan'!$H31=F$3,"A",IF('Master Plan'!$I31=F$3,"C",IF('Master Plan'!$J31=F$3,"I",""))))</f>
        <v/>
      </c>
      <c r="G31" s="20" t="str">
        <f>IF('Master Plan'!$G31=G$3,"R",IF('Master Plan'!$H31=G$3,"A",IF('Master Plan'!$I31=G$3,"C",IF('Master Plan'!$J31=G$3,"I",""))))</f>
        <v/>
      </c>
      <c r="H31" s="20" t="str">
        <f>IF('Master Plan'!$G31=H$3,"R",IF('Master Plan'!$H31=H$3,"A",IF('Master Plan'!$I31=H$3,"C",IF('Master Plan'!$J31=H$3,"I",""))))</f>
        <v/>
      </c>
      <c r="I31" s="20" t="str">
        <f>IF('Master Plan'!$G31=I$3,"R",IF('Master Plan'!$H31=I$3,"A",IF('Master Plan'!$I31=I$3,"C",IF('Master Plan'!$J31=I$3,"I",""))))</f>
        <v/>
      </c>
      <c r="J31" s="20" t="str">
        <f>IF('Master Plan'!$G31=J$3,"R",IF('Master Plan'!$H31=J$3,"A",IF('Master Plan'!$I31=J$3,"C",IF('Master Plan'!$J31=J$3,"I",""))))</f>
        <v>C</v>
      </c>
      <c r="K31" s="20" t="str">
        <f>IF('Master Plan'!$G31=K$3,"R",IF('Master Plan'!$H31=K$3,"A",IF('Master Plan'!$I31=K$3,"C",IF('Master Plan'!$J31=K$3,"I",""))))</f>
        <v/>
      </c>
      <c r="L31" s="20" t="str">
        <f>IF('Master Plan'!$G31=L$3,"R",IF('Master Plan'!$H31=L$3,"A",IF('Master Plan'!$I31=L$3,"C",IF('Master Plan'!$J31=L$3,"I",""))))</f>
        <v>R</v>
      </c>
      <c r="M31" s="20" t="str">
        <f>IF('Master Plan'!$G31=M$3,"R",IF('Master Plan'!$H31=M$3,"A",IF('Master Plan'!$I31=M$3,"C",IF('Master Plan'!$J31=M$3,"I",""))))</f>
        <v/>
      </c>
      <c r="N31" s="20" t="str">
        <f>IF('Master Plan'!$G31=N$3,"R",IF('Master Plan'!$H31=N$3,"A",IF('Master Plan'!$I31=N$3,"C",IF('Master Plan'!$J31=N$3,"I",""))))</f>
        <v/>
      </c>
      <c r="O31" s="20" t="str">
        <f>IF('Master Plan'!$G31=O$3,"R",IF('Master Plan'!$H31=O$3,"A",IF('Master Plan'!$I31=O$3,"C",IF('Master Plan'!$J31=O$3,"I",""))))</f>
        <v/>
      </c>
      <c r="P31" s="20" t="str">
        <f>IF('Master Plan'!$G31=P$3,"R",IF('Master Plan'!$H31=P$3,"A",IF('Master Plan'!$I31=P$3,"C",IF('Master Plan'!$J31=P$3,"I",""))))</f>
        <v>I</v>
      </c>
      <c r="Q31" s="20" t="str">
        <f>IF('Master Plan'!$G31=Q$3,"R",IF('Master Plan'!$H31=Q$3,"A",IF('Master Plan'!$I31=Q$3,"C",IF('Master Plan'!$J31=Q$3,"I",""))))</f>
        <v/>
      </c>
      <c r="R31" s="20" t="str">
        <f>IF('Master Plan'!$G31=R$3,"R",IF('Master Plan'!$H31=R$3,"A",IF('Master Plan'!$I31=R$3,"C",IF('Master Plan'!$J31=R$3,"I",""))))</f>
        <v/>
      </c>
      <c r="S31" s="20" t="str">
        <f>IF('Master Plan'!$G31=S$3,"R",IF('Master Plan'!$H31=S$3,"A",IF('Master Plan'!$I31=S$3,"C",IF('Master Plan'!$J31=S$3,"I",""))))</f>
        <v/>
      </c>
      <c r="T31" s="20" t="str">
        <f>IF('Master Plan'!$G31=T$3,"R",IF('Master Plan'!$H31=T$3,"A",IF('Master Plan'!$I31=T$3,"C",IF('Master Plan'!$J31=T$3,"I",""))))</f>
        <v/>
      </c>
      <c r="U31" s="20" t="str">
        <f>IF('Master Plan'!$G31=U$3,"R",IF('Master Plan'!$H31=U$3,"A",IF('Master Plan'!$I31=U$3,"C",IF('Master Plan'!$J31=U$3,"I",""))))</f>
        <v/>
      </c>
      <c r="V31" s="20" t="str">
        <f>IF('Master Plan'!$G31=V$3,"R",IF('Master Plan'!$H31=V$3,"A",IF('Master Plan'!$I31=V$3,"C",IF('Master Plan'!$J31=V$3,"I",""))))</f>
        <v/>
      </c>
      <c r="W31" s="20" t="str">
        <f>IF('Master Plan'!$G31=W$3,"R",IF('Master Plan'!$H31=W$3,"A",IF('Master Plan'!$I31=W$3,"C",IF('Master Plan'!$J31=W$3,"I",""))))</f>
        <v/>
      </c>
      <c r="X31" s="20" t="str">
        <f>IF('Master Plan'!$G31=X$3,"R",IF('Master Plan'!$H31=X$3,"A",IF('Master Plan'!$I31=X$3,"C",IF('Master Plan'!$J31=X$3,"I",""))))</f>
        <v/>
      </c>
      <c r="Y31" s="20">
        <f t="shared" si="0"/>
        <v>1</v>
      </c>
      <c r="Z31" s="20">
        <f t="shared" si="1"/>
        <v>0</v>
      </c>
      <c r="AA31" s="20">
        <f t="shared" si="2"/>
        <v>1</v>
      </c>
      <c r="AB31" s="20">
        <f t="shared" si="3"/>
        <v>1</v>
      </c>
    </row>
    <row r="32" spans="1:28" ht="15" customHeight="1" x14ac:dyDescent="0.2">
      <c r="A32" s="35" t="str">
        <f>'Master Plan'!A32</f>
        <v>T-028</v>
      </c>
      <c r="B32" s="35" t="str">
        <f>'Master Plan'!B32</f>
        <v>3. Build &amp; Configure</v>
      </c>
      <c r="C32" s="35" t="str">
        <f>'Master Plan'!E32</f>
        <v>EDI Partner Setup</v>
      </c>
      <c r="D32" s="35" t="str">
        <f>'Master Plan'!N32</f>
        <v>Not Started</v>
      </c>
      <c r="E32" s="20" t="str">
        <f>IF('Master Plan'!$G32=E$3,"R",IF('Master Plan'!$H32=E$3,"A",IF('Master Plan'!$I32=E$3,"C",IF('Master Plan'!$J32=E$3,"I",""))))</f>
        <v/>
      </c>
      <c r="F32" s="20" t="str">
        <f>IF('Master Plan'!$G32=F$3,"R",IF('Master Plan'!$H32=F$3,"A",IF('Master Plan'!$I32=F$3,"C",IF('Master Plan'!$J32=F$3,"I",""))))</f>
        <v/>
      </c>
      <c r="G32" s="20" t="str">
        <f>IF('Master Plan'!$G32=G$3,"R",IF('Master Plan'!$H32=G$3,"A",IF('Master Plan'!$I32=G$3,"C",IF('Master Plan'!$J32=G$3,"I",""))))</f>
        <v/>
      </c>
      <c r="H32" s="20" t="str">
        <f>IF('Master Plan'!$G32=H$3,"R",IF('Master Plan'!$H32=H$3,"A",IF('Master Plan'!$I32=H$3,"C",IF('Master Plan'!$J32=H$3,"I",""))))</f>
        <v/>
      </c>
      <c r="I32" s="20" t="str">
        <f>IF('Master Plan'!$G32=I$3,"R",IF('Master Plan'!$H32=I$3,"A",IF('Master Plan'!$I32=I$3,"C",IF('Master Plan'!$J32=I$3,"I",""))))</f>
        <v/>
      </c>
      <c r="J32" s="20" t="str">
        <f>IF('Master Plan'!$G32=J$3,"R",IF('Master Plan'!$H32=J$3,"A",IF('Master Plan'!$I32=J$3,"C",IF('Master Plan'!$J32=J$3,"I",""))))</f>
        <v/>
      </c>
      <c r="K32" s="20" t="str">
        <f>IF('Master Plan'!$G32=K$3,"R",IF('Master Plan'!$H32=K$3,"A",IF('Master Plan'!$I32=K$3,"C",IF('Master Plan'!$J32=K$3,"I",""))))</f>
        <v/>
      </c>
      <c r="L32" s="20" t="str">
        <f>IF('Master Plan'!$G32=L$3,"R",IF('Master Plan'!$H32=L$3,"A",IF('Master Plan'!$I32=L$3,"C",IF('Master Plan'!$J32=L$3,"I",""))))</f>
        <v>R</v>
      </c>
      <c r="M32" s="20" t="str">
        <f>IF('Master Plan'!$G32=M$3,"R",IF('Master Plan'!$H32=M$3,"A",IF('Master Plan'!$I32=M$3,"C",IF('Master Plan'!$J32=M$3,"I",""))))</f>
        <v/>
      </c>
      <c r="N32" s="20" t="str">
        <f>IF('Master Plan'!$G32=N$3,"R",IF('Master Plan'!$H32=N$3,"A",IF('Master Plan'!$I32=N$3,"C",IF('Master Plan'!$J32=N$3,"I",""))))</f>
        <v/>
      </c>
      <c r="O32" s="20" t="str">
        <f>IF('Master Plan'!$G32=O$3,"R",IF('Master Plan'!$H32=O$3,"A",IF('Master Plan'!$I32=O$3,"C",IF('Master Plan'!$J32=O$3,"I",""))))</f>
        <v/>
      </c>
      <c r="P32" s="20" t="str">
        <f>IF('Master Plan'!$G32=P$3,"R",IF('Master Plan'!$H32=P$3,"A",IF('Master Plan'!$I32=P$3,"C",IF('Master Plan'!$J32=P$3,"I",""))))</f>
        <v>I</v>
      </c>
      <c r="Q32" s="20" t="str">
        <f>IF('Master Plan'!$G32=Q$3,"R",IF('Master Plan'!$H32=Q$3,"A",IF('Master Plan'!$I32=Q$3,"C",IF('Master Plan'!$J32=Q$3,"I",""))))</f>
        <v>C</v>
      </c>
      <c r="R32" s="20" t="str">
        <f>IF('Master Plan'!$G32=R$3,"R",IF('Master Plan'!$H32=R$3,"A",IF('Master Plan'!$I32=R$3,"C",IF('Master Plan'!$J32=R$3,"I",""))))</f>
        <v/>
      </c>
      <c r="S32" s="20" t="str">
        <f>IF('Master Plan'!$G32=S$3,"R",IF('Master Plan'!$H32=S$3,"A",IF('Master Plan'!$I32=S$3,"C",IF('Master Plan'!$J32=S$3,"I",""))))</f>
        <v/>
      </c>
      <c r="T32" s="20" t="str">
        <f>IF('Master Plan'!$G32=T$3,"R",IF('Master Plan'!$H32=T$3,"A",IF('Master Plan'!$I32=T$3,"C",IF('Master Plan'!$J32=T$3,"I",""))))</f>
        <v/>
      </c>
      <c r="U32" s="20" t="str">
        <f>IF('Master Plan'!$G32=U$3,"R",IF('Master Plan'!$H32=U$3,"A",IF('Master Plan'!$I32=U$3,"C",IF('Master Plan'!$J32=U$3,"I",""))))</f>
        <v/>
      </c>
      <c r="V32" s="20" t="str">
        <f>IF('Master Plan'!$G32=V$3,"R",IF('Master Plan'!$H32=V$3,"A",IF('Master Plan'!$I32=V$3,"C",IF('Master Plan'!$J32=V$3,"I",""))))</f>
        <v/>
      </c>
      <c r="W32" s="20" t="str">
        <f>IF('Master Plan'!$G32=W$3,"R",IF('Master Plan'!$H32=W$3,"A",IF('Master Plan'!$I32=W$3,"C",IF('Master Plan'!$J32=W$3,"I",""))))</f>
        <v/>
      </c>
      <c r="X32" s="20" t="str">
        <f>IF('Master Plan'!$G32=X$3,"R",IF('Master Plan'!$H32=X$3,"A",IF('Master Plan'!$I32=X$3,"C",IF('Master Plan'!$J32=X$3,"I",""))))</f>
        <v/>
      </c>
      <c r="Y32" s="20">
        <f t="shared" si="0"/>
        <v>1</v>
      </c>
      <c r="Z32" s="20">
        <f t="shared" si="1"/>
        <v>0</v>
      </c>
      <c r="AA32" s="20">
        <f t="shared" si="2"/>
        <v>1</v>
      </c>
      <c r="AB32" s="20">
        <f t="shared" si="3"/>
        <v>1</v>
      </c>
    </row>
    <row r="33" spans="1:28" ht="15" customHeight="1" x14ac:dyDescent="0.2">
      <c r="A33" s="35" t="str">
        <f>'Master Plan'!A33</f>
        <v>T-029</v>
      </c>
      <c r="B33" s="35" t="str">
        <f>'Master Plan'!B33</f>
        <v>3. Build &amp; Configure</v>
      </c>
      <c r="C33" s="35" t="str">
        <f>'Master Plan'!E33</f>
        <v>Data Cleansing</v>
      </c>
      <c r="D33" s="35" t="str">
        <f>'Master Plan'!N33</f>
        <v>Not Started</v>
      </c>
      <c r="E33" s="20" t="str">
        <f>IF('Master Plan'!$G33=E$3,"R",IF('Master Plan'!$H33=E$3,"A",IF('Master Plan'!$I33=E$3,"C",IF('Master Plan'!$J33=E$3,"I",""))))</f>
        <v/>
      </c>
      <c r="F33" s="20" t="str">
        <f>IF('Master Plan'!$G33=F$3,"R",IF('Master Plan'!$H33=F$3,"A",IF('Master Plan'!$I33=F$3,"C",IF('Master Plan'!$J33=F$3,"I",""))))</f>
        <v/>
      </c>
      <c r="G33" s="20" t="str">
        <f>IF('Master Plan'!$G33=G$3,"R",IF('Master Plan'!$H33=G$3,"A",IF('Master Plan'!$I33=G$3,"C",IF('Master Plan'!$J33=G$3,"I",""))))</f>
        <v/>
      </c>
      <c r="H33" s="20" t="str">
        <f>IF('Master Plan'!$G33=H$3,"R",IF('Master Plan'!$H33=H$3,"A",IF('Master Plan'!$I33=H$3,"C",IF('Master Plan'!$J33=H$3,"I",""))))</f>
        <v/>
      </c>
      <c r="I33" s="20" t="str">
        <f>IF('Master Plan'!$G33=I$3,"R",IF('Master Plan'!$H33=I$3,"A",IF('Master Plan'!$I33=I$3,"C",IF('Master Plan'!$J33=I$3,"I",""))))</f>
        <v>I</v>
      </c>
      <c r="J33" s="20" t="str">
        <f>IF('Master Plan'!$G33=J$3,"R",IF('Master Plan'!$H33=J$3,"A",IF('Master Plan'!$I33=J$3,"C",IF('Master Plan'!$J33=J$3,"I",""))))</f>
        <v/>
      </c>
      <c r="K33" s="20" t="str">
        <f>IF('Master Plan'!$G33=K$3,"R",IF('Master Plan'!$H33=K$3,"A",IF('Master Plan'!$I33=K$3,"C",IF('Master Plan'!$J33=K$3,"I",""))))</f>
        <v/>
      </c>
      <c r="L33" s="20" t="str">
        <f>IF('Master Plan'!$G33=L$3,"R",IF('Master Plan'!$H33=L$3,"A",IF('Master Plan'!$I33=L$3,"C",IF('Master Plan'!$J33=L$3,"I",""))))</f>
        <v/>
      </c>
      <c r="M33" s="20" t="str">
        <f>IF('Master Plan'!$G33=M$3,"R",IF('Master Plan'!$H33=M$3,"A",IF('Master Plan'!$I33=M$3,"C",IF('Master Plan'!$J33=M$3,"I",""))))</f>
        <v>R</v>
      </c>
      <c r="N33" s="20" t="str">
        <f>IF('Master Plan'!$G33=N$3,"R",IF('Master Plan'!$H33=N$3,"A",IF('Master Plan'!$I33=N$3,"C",IF('Master Plan'!$J33=N$3,"I",""))))</f>
        <v/>
      </c>
      <c r="O33" s="20" t="str">
        <f>IF('Master Plan'!$G33=O$3,"R",IF('Master Plan'!$H33=O$3,"A",IF('Master Plan'!$I33=O$3,"C",IF('Master Plan'!$J33=O$3,"I",""))))</f>
        <v>C</v>
      </c>
      <c r="P33" s="20" t="str">
        <f>IF('Master Plan'!$G33=P$3,"R",IF('Master Plan'!$H33=P$3,"A",IF('Master Plan'!$I33=P$3,"C",IF('Master Plan'!$J33=P$3,"I",""))))</f>
        <v/>
      </c>
      <c r="Q33" s="20" t="str">
        <f>IF('Master Plan'!$G33=Q$3,"R",IF('Master Plan'!$H33=Q$3,"A",IF('Master Plan'!$I33=Q$3,"C",IF('Master Plan'!$J33=Q$3,"I",""))))</f>
        <v/>
      </c>
      <c r="R33" s="20" t="str">
        <f>IF('Master Plan'!$G33=R$3,"R",IF('Master Plan'!$H33=R$3,"A",IF('Master Plan'!$I33=R$3,"C",IF('Master Plan'!$J33=R$3,"I",""))))</f>
        <v/>
      </c>
      <c r="S33" s="20" t="str">
        <f>IF('Master Plan'!$G33=S$3,"R",IF('Master Plan'!$H33=S$3,"A",IF('Master Plan'!$I33=S$3,"C",IF('Master Plan'!$J33=S$3,"I",""))))</f>
        <v/>
      </c>
      <c r="T33" s="20" t="str">
        <f>IF('Master Plan'!$G33=T$3,"R",IF('Master Plan'!$H33=T$3,"A",IF('Master Plan'!$I33=T$3,"C",IF('Master Plan'!$J33=T$3,"I",""))))</f>
        <v/>
      </c>
      <c r="U33" s="20" t="str">
        <f>IF('Master Plan'!$G33=U$3,"R",IF('Master Plan'!$H33=U$3,"A",IF('Master Plan'!$I33=U$3,"C",IF('Master Plan'!$J33=U$3,"I",""))))</f>
        <v/>
      </c>
      <c r="V33" s="20" t="str">
        <f>IF('Master Plan'!$G33=V$3,"R",IF('Master Plan'!$H33=V$3,"A",IF('Master Plan'!$I33=V$3,"C",IF('Master Plan'!$J33=V$3,"I",""))))</f>
        <v/>
      </c>
      <c r="W33" s="20" t="str">
        <f>IF('Master Plan'!$G33=W$3,"R",IF('Master Plan'!$H33=W$3,"A",IF('Master Plan'!$I33=W$3,"C",IF('Master Plan'!$J33=W$3,"I",""))))</f>
        <v/>
      </c>
      <c r="X33" s="20" t="str">
        <f>IF('Master Plan'!$G33=X$3,"R",IF('Master Plan'!$H33=X$3,"A",IF('Master Plan'!$I33=X$3,"C",IF('Master Plan'!$J33=X$3,"I",""))))</f>
        <v/>
      </c>
      <c r="Y33" s="20">
        <f t="shared" si="0"/>
        <v>1</v>
      </c>
      <c r="Z33" s="20">
        <f t="shared" si="1"/>
        <v>0</v>
      </c>
      <c r="AA33" s="20">
        <f t="shared" si="2"/>
        <v>1</v>
      </c>
      <c r="AB33" s="20">
        <f t="shared" si="3"/>
        <v>1</v>
      </c>
    </row>
    <row r="34" spans="1:28" ht="15" customHeight="1" x14ac:dyDescent="0.2">
      <c r="A34" s="35" t="str">
        <f>'Master Plan'!A34</f>
        <v>T-030</v>
      </c>
      <c r="B34" s="35" t="str">
        <f>'Master Plan'!B34</f>
        <v>3. Build &amp; Configure</v>
      </c>
      <c r="C34" s="35" t="str">
        <f>'Master Plan'!E34</f>
        <v>Mock Data Load 1</v>
      </c>
      <c r="D34" s="35" t="str">
        <f>'Master Plan'!N34</f>
        <v>Not Started</v>
      </c>
      <c r="E34" s="20" t="str">
        <f>IF('Master Plan'!$G34=E$3,"R",IF('Master Plan'!$H34=E$3,"A",IF('Master Plan'!$I34=E$3,"C",IF('Master Plan'!$J34=E$3,"I",""))))</f>
        <v/>
      </c>
      <c r="F34" s="20" t="str">
        <f>IF('Master Plan'!$G34=F$3,"R",IF('Master Plan'!$H34=F$3,"A",IF('Master Plan'!$I34=F$3,"C",IF('Master Plan'!$J34=F$3,"I",""))))</f>
        <v/>
      </c>
      <c r="G34" s="20" t="str">
        <f>IF('Master Plan'!$G34=G$3,"R",IF('Master Plan'!$H34=G$3,"A",IF('Master Plan'!$I34=G$3,"C",IF('Master Plan'!$J34=G$3,"I",""))))</f>
        <v/>
      </c>
      <c r="H34" s="20" t="str">
        <f>IF('Master Plan'!$G34=H$3,"R",IF('Master Plan'!$H34=H$3,"A",IF('Master Plan'!$I34=H$3,"C",IF('Master Plan'!$J34=H$3,"I",""))))</f>
        <v/>
      </c>
      <c r="I34" s="20" t="str">
        <f>IF('Master Plan'!$G34=I$3,"R",IF('Master Plan'!$H34=I$3,"A",IF('Master Plan'!$I34=I$3,"C",IF('Master Plan'!$J34=I$3,"I",""))))</f>
        <v/>
      </c>
      <c r="J34" s="20" t="str">
        <f>IF('Master Plan'!$G34=J$3,"R",IF('Master Plan'!$H34=J$3,"A",IF('Master Plan'!$I34=J$3,"C",IF('Master Plan'!$J34=J$3,"I",""))))</f>
        <v>C</v>
      </c>
      <c r="K34" s="20" t="str">
        <f>IF('Master Plan'!$G34=K$3,"R",IF('Master Plan'!$H34=K$3,"A",IF('Master Plan'!$I34=K$3,"C",IF('Master Plan'!$J34=K$3,"I",""))))</f>
        <v/>
      </c>
      <c r="L34" s="20" t="str">
        <f>IF('Master Plan'!$G34=L$3,"R",IF('Master Plan'!$H34=L$3,"A",IF('Master Plan'!$I34=L$3,"C",IF('Master Plan'!$J34=L$3,"I",""))))</f>
        <v>A</v>
      </c>
      <c r="M34" s="20" t="str">
        <f>IF('Master Plan'!$G34=M$3,"R",IF('Master Plan'!$H34=M$3,"A",IF('Master Plan'!$I34=M$3,"C",IF('Master Plan'!$J34=M$3,"I",""))))</f>
        <v>R</v>
      </c>
      <c r="N34" s="20" t="str">
        <f>IF('Master Plan'!$G34=N$3,"R",IF('Master Plan'!$H34=N$3,"A",IF('Master Plan'!$I34=N$3,"C",IF('Master Plan'!$J34=N$3,"I",""))))</f>
        <v>I</v>
      </c>
      <c r="O34" s="20" t="str">
        <f>IF('Master Plan'!$G34=O$3,"R",IF('Master Plan'!$H34=O$3,"A",IF('Master Plan'!$I34=O$3,"C",IF('Master Plan'!$J34=O$3,"I",""))))</f>
        <v/>
      </c>
      <c r="P34" s="20" t="str">
        <f>IF('Master Plan'!$G34=P$3,"R",IF('Master Plan'!$H34=P$3,"A",IF('Master Plan'!$I34=P$3,"C",IF('Master Plan'!$J34=P$3,"I",""))))</f>
        <v/>
      </c>
      <c r="Q34" s="20" t="str">
        <f>IF('Master Plan'!$G34=Q$3,"R",IF('Master Plan'!$H34=Q$3,"A",IF('Master Plan'!$I34=Q$3,"C",IF('Master Plan'!$J34=Q$3,"I",""))))</f>
        <v/>
      </c>
      <c r="R34" s="20" t="str">
        <f>IF('Master Plan'!$G34=R$3,"R",IF('Master Plan'!$H34=R$3,"A",IF('Master Plan'!$I34=R$3,"C",IF('Master Plan'!$J34=R$3,"I",""))))</f>
        <v/>
      </c>
      <c r="S34" s="20" t="str">
        <f>IF('Master Plan'!$G34=S$3,"R",IF('Master Plan'!$H34=S$3,"A",IF('Master Plan'!$I34=S$3,"C",IF('Master Plan'!$J34=S$3,"I",""))))</f>
        <v/>
      </c>
      <c r="T34" s="20" t="str">
        <f>IF('Master Plan'!$G34=T$3,"R",IF('Master Plan'!$H34=T$3,"A",IF('Master Plan'!$I34=T$3,"C",IF('Master Plan'!$J34=T$3,"I",""))))</f>
        <v/>
      </c>
      <c r="U34" s="20" t="str">
        <f>IF('Master Plan'!$G34=U$3,"R",IF('Master Plan'!$H34=U$3,"A",IF('Master Plan'!$I34=U$3,"C",IF('Master Plan'!$J34=U$3,"I",""))))</f>
        <v/>
      </c>
      <c r="V34" s="20" t="str">
        <f>IF('Master Plan'!$G34=V$3,"R",IF('Master Plan'!$H34=V$3,"A",IF('Master Plan'!$I34=V$3,"C",IF('Master Plan'!$J34=V$3,"I",""))))</f>
        <v/>
      </c>
      <c r="W34" s="20" t="str">
        <f>IF('Master Plan'!$G34=W$3,"R",IF('Master Plan'!$H34=W$3,"A",IF('Master Plan'!$I34=W$3,"C",IF('Master Plan'!$J34=W$3,"I",""))))</f>
        <v/>
      </c>
      <c r="X34" s="20" t="str">
        <f>IF('Master Plan'!$G34=X$3,"R",IF('Master Plan'!$H34=X$3,"A",IF('Master Plan'!$I34=X$3,"C",IF('Master Plan'!$J34=X$3,"I",""))))</f>
        <v/>
      </c>
      <c r="Y34" s="20">
        <f t="shared" si="0"/>
        <v>1</v>
      </c>
      <c r="Z34" s="20">
        <f t="shared" si="1"/>
        <v>1</v>
      </c>
      <c r="AA34" s="20">
        <f t="shared" si="2"/>
        <v>1</v>
      </c>
      <c r="AB34" s="20">
        <f t="shared" si="3"/>
        <v>1</v>
      </c>
    </row>
    <row r="35" spans="1:28" ht="15" customHeight="1" x14ac:dyDescent="0.2">
      <c r="A35" s="35" t="str">
        <f>'Master Plan'!A35</f>
        <v>T-031</v>
      </c>
      <c r="B35" s="35" t="str">
        <f>'Master Plan'!B35</f>
        <v>3. Build &amp; Configure</v>
      </c>
      <c r="C35" s="35" t="str">
        <f>'Master Plan'!E35</f>
        <v>Equipment Manufacture</v>
      </c>
      <c r="D35" s="35" t="str">
        <f>'Master Plan'!N35</f>
        <v>Not Started</v>
      </c>
      <c r="E35" s="20" t="str">
        <f>IF('Master Plan'!$G35=E$3,"R",IF('Master Plan'!$H35=E$3,"A",IF('Master Plan'!$I35=E$3,"C",IF('Master Plan'!$J35=E$3,"I",""))))</f>
        <v/>
      </c>
      <c r="F35" s="20" t="str">
        <f>IF('Master Plan'!$G35=F$3,"R",IF('Master Plan'!$H35=F$3,"A",IF('Master Plan'!$I35=F$3,"C",IF('Master Plan'!$J35=F$3,"I",""))))</f>
        <v>I</v>
      </c>
      <c r="G35" s="20" t="str">
        <f>IF('Master Plan'!$G35=G$3,"R",IF('Master Plan'!$H35=G$3,"A",IF('Master Plan'!$I35=G$3,"C",IF('Master Plan'!$J35=G$3,"I",""))))</f>
        <v/>
      </c>
      <c r="H35" s="20" t="str">
        <f>IF('Master Plan'!$G35=H$3,"R",IF('Master Plan'!$H35=H$3,"A",IF('Master Plan'!$I35=H$3,"C",IF('Master Plan'!$J35=H$3,"I",""))))</f>
        <v/>
      </c>
      <c r="I35" s="20" t="str">
        <f>IF('Master Plan'!$G35=I$3,"R",IF('Master Plan'!$H35=I$3,"A",IF('Master Plan'!$I35=I$3,"C",IF('Master Plan'!$J35=I$3,"I",""))))</f>
        <v/>
      </c>
      <c r="J35" s="20" t="str">
        <f>IF('Master Plan'!$G35=J$3,"R",IF('Master Plan'!$H35=J$3,"A",IF('Master Plan'!$I35=J$3,"C",IF('Master Plan'!$J35=J$3,"I",""))))</f>
        <v/>
      </c>
      <c r="K35" s="20" t="str">
        <f>IF('Master Plan'!$G35=K$3,"R",IF('Master Plan'!$H35=K$3,"A",IF('Master Plan'!$I35=K$3,"C",IF('Master Plan'!$J35=K$3,"I",""))))</f>
        <v>A</v>
      </c>
      <c r="L35" s="20" t="str">
        <f>IF('Master Plan'!$G35=L$3,"R",IF('Master Plan'!$H35=L$3,"A",IF('Master Plan'!$I35=L$3,"C",IF('Master Plan'!$J35=L$3,"I",""))))</f>
        <v/>
      </c>
      <c r="M35" s="20" t="str">
        <f>IF('Master Plan'!$G35=M$3,"R",IF('Master Plan'!$H35=M$3,"A",IF('Master Plan'!$I35=M$3,"C",IF('Master Plan'!$J35=M$3,"I",""))))</f>
        <v/>
      </c>
      <c r="N35" s="20" t="str">
        <f>IF('Master Plan'!$G35=N$3,"R",IF('Master Plan'!$H35=N$3,"A",IF('Master Plan'!$I35=N$3,"C",IF('Master Plan'!$J35=N$3,"I",""))))</f>
        <v/>
      </c>
      <c r="O35" s="20" t="str">
        <f>IF('Master Plan'!$G35=O$3,"R",IF('Master Plan'!$H35=O$3,"A",IF('Master Plan'!$I35=O$3,"C",IF('Master Plan'!$J35=O$3,"I",""))))</f>
        <v/>
      </c>
      <c r="P35" s="20" t="str">
        <f>IF('Master Plan'!$G35=P$3,"R",IF('Master Plan'!$H35=P$3,"A",IF('Master Plan'!$I35=P$3,"C",IF('Master Plan'!$J35=P$3,"I",""))))</f>
        <v/>
      </c>
      <c r="Q35" s="20" t="str">
        <f>IF('Master Plan'!$G35=Q$3,"R",IF('Master Plan'!$H35=Q$3,"A",IF('Master Plan'!$I35=Q$3,"C",IF('Master Plan'!$J35=Q$3,"I",""))))</f>
        <v>C</v>
      </c>
      <c r="R35" s="20" t="str">
        <f>IF('Master Plan'!$G35=R$3,"R",IF('Master Plan'!$H35=R$3,"A",IF('Master Plan'!$I35=R$3,"C",IF('Master Plan'!$J35=R$3,"I",""))))</f>
        <v>R</v>
      </c>
      <c r="S35" s="20" t="str">
        <f>IF('Master Plan'!$G35=S$3,"R",IF('Master Plan'!$H35=S$3,"A",IF('Master Plan'!$I35=S$3,"C",IF('Master Plan'!$J35=S$3,"I",""))))</f>
        <v/>
      </c>
      <c r="T35" s="20" t="str">
        <f>IF('Master Plan'!$G35=T$3,"R",IF('Master Plan'!$H35=T$3,"A",IF('Master Plan'!$I35=T$3,"C",IF('Master Plan'!$J35=T$3,"I",""))))</f>
        <v/>
      </c>
      <c r="U35" s="20" t="str">
        <f>IF('Master Plan'!$G35=U$3,"R",IF('Master Plan'!$H35=U$3,"A",IF('Master Plan'!$I35=U$3,"C",IF('Master Plan'!$J35=U$3,"I",""))))</f>
        <v/>
      </c>
      <c r="V35" s="20" t="str">
        <f>IF('Master Plan'!$G35=V$3,"R",IF('Master Plan'!$H35=V$3,"A",IF('Master Plan'!$I35=V$3,"C",IF('Master Plan'!$J35=V$3,"I",""))))</f>
        <v/>
      </c>
      <c r="W35" s="20" t="str">
        <f>IF('Master Plan'!$G35=W$3,"R",IF('Master Plan'!$H35=W$3,"A",IF('Master Plan'!$I35=W$3,"C",IF('Master Plan'!$J35=W$3,"I",""))))</f>
        <v/>
      </c>
      <c r="X35" s="20" t="str">
        <f>IF('Master Plan'!$G35=X$3,"R",IF('Master Plan'!$H35=X$3,"A",IF('Master Plan'!$I35=X$3,"C",IF('Master Plan'!$J35=X$3,"I",""))))</f>
        <v/>
      </c>
      <c r="Y35" s="20">
        <f t="shared" si="0"/>
        <v>1</v>
      </c>
      <c r="Z35" s="20">
        <f t="shared" si="1"/>
        <v>1</v>
      </c>
      <c r="AA35" s="20">
        <f t="shared" si="2"/>
        <v>1</v>
      </c>
      <c r="AB35" s="20">
        <f t="shared" si="3"/>
        <v>1</v>
      </c>
    </row>
    <row r="36" spans="1:28" ht="15" customHeight="1" x14ac:dyDescent="0.2">
      <c r="A36" s="35" t="str">
        <f>'Master Plan'!A36</f>
        <v>T-032</v>
      </c>
      <c r="B36" s="35" t="str">
        <f>'Master Plan'!B36</f>
        <v>3. Build &amp; Configure</v>
      </c>
      <c r="C36" s="35" t="str">
        <f>'Master Plan'!E36</f>
        <v>WCS Development</v>
      </c>
      <c r="D36" s="35" t="str">
        <f>'Master Plan'!N36</f>
        <v>Not Started</v>
      </c>
      <c r="E36" s="20" t="str">
        <f>IF('Master Plan'!$G36=E$3,"R",IF('Master Plan'!$H36=E$3,"A",IF('Master Plan'!$I36=E$3,"C",IF('Master Plan'!$J36=E$3,"I",""))))</f>
        <v/>
      </c>
      <c r="F36" s="20" t="str">
        <f>IF('Master Plan'!$G36=F$3,"R",IF('Master Plan'!$H36=F$3,"A",IF('Master Plan'!$I36=F$3,"C",IF('Master Plan'!$J36=F$3,"I",""))))</f>
        <v/>
      </c>
      <c r="G36" s="20" t="str">
        <f>IF('Master Plan'!$G36=G$3,"R",IF('Master Plan'!$H36=G$3,"A",IF('Master Plan'!$I36=G$3,"C",IF('Master Plan'!$J36=G$3,"I",""))))</f>
        <v/>
      </c>
      <c r="H36" s="20" t="str">
        <f>IF('Master Plan'!$G36=H$3,"R",IF('Master Plan'!$H36=H$3,"A",IF('Master Plan'!$I36=H$3,"C",IF('Master Plan'!$J36=H$3,"I",""))))</f>
        <v/>
      </c>
      <c r="I36" s="20" t="str">
        <f>IF('Master Plan'!$G36=I$3,"R",IF('Master Plan'!$H36=I$3,"A",IF('Master Plan'!$I36=I$3,"C",IF('Master Plan'!$J36=I$3,"I",""))))</f>
        <v/>
      </c>
      <c r="J36" s="20" t="str">
        <f>IF('Master Plan'!$G36=J$3,"R",IF('Master Plan'!$H36=J$3,"A",IF('Master Plan'!$I36=J$3,"C",IF('Master Plan'!$J36=J$3,"I",""))))</f>
        <v>C</v>
      </c>
      <c r="K36" s="20" t="str">
        <f>IF('Master Plan'!$G36=K$3,"R",IF('Master Plan'!$H36=K$3,"A",IF('Master Plan'!$I36=K$3,"C",IF('Master Plan'!$J36=K$3,"I",""))))</f>
        <v>A</v>
      </c>
      <c r="L36" s="20" t="str">
        <f>IF('Master Plan'!$G36=L$3,"R",IF('Master Plan'!$H36=L$3,"A",IF('Master Plan'!$I36=L$3,"C",IF('Master Plan'!$J36=L$3,"I",""))))</f>
        <v/>
      </c>
      <c r="M36" s="20" t="str">
        <f>IF('Master Plan'!$G36=M$3,"R",IF('Master Plan'!$H36=M$3,"A",IF('Master Plan'!$I36=M$3,"C",IF('Master Plan'!$J36=M$3,"I",""))))</f>
        <v/>
      </c>
      <c r="N36" s="20" t="str">
        <f>IF('Master Plan'!$G36=N$3,"R",IF('Master Plan'!$H36=N$3,"A",IF('Master Plan'!$I36=N$3,"C",IF('Master Plan'!$J36=N$3,"I",""))))</f>
        <v>I</v>
      </c>
      <c r="O36" s="20" t="str">
        <f>IF('Master Plan'!$G36=O$3,"R",IF('Master Plan'!$H36=O$3,"A",IF('Master Plan'!$I36=O$3,"C",IF('Master Plan'!$J36=O$3,"I",""))))</f>
        <v/>
      </c>
      <c r="P36" s="20" t="str">
        <f>IF('Master Plan'!$G36=P$3,"R",IF('Master Plan'!$H36=P$3,"A",IF('Master Plan'!$I36=P$3,"C",IF('Master Plan'!$J36=P$3,"I",""))))</f>
        <v/>
      </c>
      <c r="Q36" s="20" t="str">
        <f>IF('Master Plan'!$G36=Q$3,"R",IF('Master Plan'!$H36=Q$3,"A",IF('Master Plan'!$I36=Q$3,"C",IF('Master Plan'!$J36=Q$3,"I",""))))</f>
        <v/>
      </c>
      <c r="R36" s="20" t="str">
        <f>IF('Master Plan'!$G36=R$3,"R",IF('Master Plan'!$H36=R$3,"A",IF('Master Plan'!$I36=R$3,"C",IF('Master Plan'!$J36=R$3,"I",""))))</f>
        <v>R</v>
      </c>
      <c r="S36" s="20" t="str">
        <f>IF('Master Plan'!$G36=S$3,"R",IF('Master Plan'!$H36=S$3,"A",IF('Master Plan'!$I36=S$3,"C",IF('Master Plan'!$J36=S$3,"I",""))))</f>
        <v/>
      </c>
      <c r="T36" s="20" t="str">
        <f>IF('Master Plan'!$G36=T$3,"R",IF('Master Plan'!$H36=T$3,"A",IF('Master Plan'!$I36=T$3,"C",IF('Master Plan'!$J36=T$3,"I",""))))</f>
        <v/>
      </c>
      <c r="U36" s="20" t="str">
        <f>IF('Master Plan'!$G36=U$3,"R",IF('Master Plan'!$H36=U$3,"A",IF('Master Plan'!$I36=U$3,"C",IF('Master Plan'!$J36=U$3,"I",""))))</f>
        <v/>
      </c>
      <c r="V36" s="20" t="str">
        <f>IF('Master Plan'!$G36=V$3,"R",IF('Master Plan'!$H36=V$3,"A",IF('Master Plan'!$I36=V$3,"C",IF('Master Plan'!$J36=V$3,"I",""))))</f>
        <v/>
      </c>
      <c r="W36" s="20" t="str">
        <f>IF('Master Plan'!$G36=W$3,"R",IF('Master Plan'!$H36=W$3,"A",IF('Master Plan'!$I36=W$3,"C",IF('Master Plan'!$J36=W$3,"I",""))))</f>
        <v/>
      </c>
      <c r="X36" s="20" t="str">
        <f>IF('Master Plan'!$G36=X$3,"R",IF('Master Plan'!$H36=X$3,"A",IF('Master Plan'!$I36=X$3,"C",IF('Master Plan'!$J36=X$3,"I",""))))</f>
        <v/>
      </c>
      <c r="Y36" s="20">
        <f t="shared" si="0"/>
        <v>1</v>
      </c>
      <c r="Z36" s="20">
        <f t="shared" si="1"/>
        <v>1</v>
      </c>
      <c r="AA36" s="20">
        <f t="shared" si="2"/>
        <v>1</v>
      </c>
      <c r="AB36" s="20">
        <f t="shared" si="3"/>
        <v>1</v>
      </c>
    </row>
    <row r="37" spans="1:28" ht="15" customHeight="1" x14ac:dyDescent="0.2">
      <c r="A37" s="35" t="str">
        <f>'Master Plan'!A37</f>
        <v>T-033</v>
      </c>
      <c r="B37" s="35" t="str">
        <f>'Master Plan'!B37</f>
        <v>3. Build &amp; Configure</v>
      </c>
      <c r="C37" s="35" t="str">
        <f>'Master Plan'!E37</f>
        <v>Construction</v>
      </c>
      <c r="D37" s="35" t="str">
        <f>'Master Plan'!N37</f>
        <v>Not Started</v>
      </c>
      <c r="E37" s="20" t="str">
        <f>IF('Master Plan'!$G37=E$3,"R",IF('Master Plan'!$H37=E$3,"A",IF('Master Plan'!$I37=E$3,"C",IF('Master Plan'!$J37=E$3,"I",""))))</f>
        <v/>
      </c>
      <c r="F37" s="20" t="str">
        <f>IF('Master Plan'!$G37=F$3,"R",IF('Master Plan'!$H37=F$3,"A",IF('Master Plan'!$I37=F$3,"C",IF('Master Plan'!$J37=F$3,"I",""))))</f>
        <v/>
      </c>
      <c r="G37" s="20" t="str">
        <f>IF('Master Plan'!$G37=G$3,"R",IF('Master Plan'!$H37=G$3,"A",IF('Master Plan'!$I37=G$3,"C",IF('Master Plan'!$J37=G$3,"I",""))))</f>
        <v/>
      </c>
      <c r="H37" s="20" t="str">
        <f>IF('Master Plan'!$G37=H$3,"R",IF('Master Plan'!$H37=H$3,"A",IF('Master Plan'!$I37=H$3,"C",IF('Master Plan'!$J37=H$3,"I",""))))</f>
        <v>R</v>
      </c>
      <c r="I37" s="20" t="str">
        <f>IF('Master Plan'!$G37=I$3,"R",IF('Master Plan'!$H37=I$3,"A",IF('Master Plan'!$I37=I$3,"C",IF('Master Plan'!$J37=I$3,"I",""))))</f>
        <v/>
      </c>
      <c r="J37" s="20" t="str">
        <f>IF('Master Plan'!$G37=J$3,"R",IF('Master Plan'!$H37=J$3,"A",IF('Master Plan'!$I37=J$3,"C",IF('Master Plan'!$J37=J$3,"I",""))))</f>
        <v/>
      </c>
      <c r="K37" s="20" t="str">
        <f>IF('Master Plan'!$G37=K$3,"R",IF('Master Plan'!$H37=K$3,"A",IF('Master Plan'!$I37=K$3,"C",IF('Master Plan'!$J37=K$3,"I",""))))</f>
        <v>I</v>
      </c>
      <c r="L37" s="20" t="str">
        <f>IF('Master Plan'!$G37=L$3,"R",IF('Master Plan'!$H37=L$3,"A",IF('Master Plan'!$I37=L$3,"C",IF('Master Plan'!$J37=L$3,"I",""))))</f>
        <v/>
      </c>
      <c r="M37" s="20" t="str">
        <f>IF('Master Plan'!$G37=M$3,"R",IF('Master Plan'!$H37=M$3,"A",IF('Master Plan'!$I37=M$3,"C",IF('Master Plan'!$J37=M$3,"I",""))))</f>
        <v/>
      </c>
      <c r="N37" s="20" t="str">
        <f>IF('Master Plan'!$G37=N$3,"R",IF('Master Plan'!$H37=N$3,"A",IF('Master Plan'!$I37=N$3,"C",IF('Master Plan'!$J37=N$3,"I",""))))</f>
        <v/>
      </c>
      <c r="O37" s="20" t="str">
        <f>IF('Master Plan'!$G37=O$3,"R",IF('Master Plan'!$H37=O$3,"A",IF('Master Plan'!$I37=O$3,"C",IF('Master Plan'!$J37=O$3,"I",""))))</f>
        <v/>
      </c>
      <c r="P37" s="20" t="str">
        <f>IF('Master Plan'!$G37=P$3,"R",IF('Master Plan'!$H37=P$3,"A",IF('Master Plan'!$I37=P$3,"C",IF('Master Plan'!$J37=P$3,"I",""))))</f>
        <v/>
      </c>
      <c r="Q37" s="20" t="str">
        <f>IF('Master Plan'!$G37=Q$3,"R",IF('Master Plan'!$H37=Q$3,"A",IF('Master Plan'!$I37=Q$3,"C",IF('Master Plan'!$J37=Q$3,"I",""))))</f>
        <v/>
      </c>
      <c r="R37" s="20" t="str">
        <f>IF('Master Plan'!$G37=R$3,"R",IF('Master Plan'!$H37=R$3,"A",IF('Master Plan'!$I37=R$3,"C",IF('Master Plan'!$J37=R$3,"I",""))))</f>
        <v/>
      </c>
      <c r="S37" s="20" t="str">
        <f>IF('Master Plan'!$G37=S$3,"R",IF('Master Plan'!$H37=S$3,"A",IF('Master Plan'!$I37=S$3,"C",IF('Master Plan'!$J37=S$3,"I",""))))</f>
        <v>C</v>
      </c>
      <c r="T37" s="20" t="str">
        <f>IF('Master Plan'!$G37=T$3,"R",IF('Master Plan'!$H37=T$3,"A",IF('Master Plan'!$I37=T$3,"C",IF('Master Plan'!$J37=T$3,"I",""))))</f>
        <v/>
      </c>
      <c r="U37" s="20" t="str">
        <f>IF('Master Plan'!$G37=U$3,"R",IF('Master Plan'!$H37=U$3,"A",IF('Master Plan'!$I37=U$3,"C",IF('Master Plan'!$J37=U$3,"I",""))))</f>
        <v/>
      </c>
      <c r="V37" s="20" t="str">
        <f>IF('Master Plan'!$G37=V$3,"R",IF('Master Plan'!$H37=V$3,"A",IF('Master Plan'!$I37=V$3,"C",IF('Master Plan'!$J37=V$3,"I",""))))</f>
        <v/>
      </c>
      <c r="W37" s="20" t="str">
        <f>IF('Master Plan'!$G37=W$3,"R",IF('Master Plan'!$H37=W$3,"A",IF('Master Plan'!$I37=W$3,"C",IF('Master Plan'!$J37=W$3,"I",""))))</f>
        <v/>
      </c>
      <c r="X37" s="20" t="str">
        <f>IF('Master Plan'!$G37=X$3,"R",IF('Master Plan'!$H37=X$3,"A",IF('Master Plan'!$I37=X$3,"C",IF('Master Plan'!$J37=X$3,"I",""))))</f>
        <v/>
      </c>
      <c r="Y37" s="20">
        <f t="shared" ref="Y37:Y68" si="4">COUNTIF(E37:X37,"R")</f>
        <v>1</v>
      </c>
      <c r="Z37" s="20">
        <f t="shared" ref="Z37:Z68" si="5">COUNTIF(E37:X37,"A")</f>
        <v>0</v>
      </c>
      <c r="AA37" s="20">
        <f t="shared" ref="AA37:AA68" si="6">COUNTIF(E37:X37,"C")</f>
        <v>1</v>
      </c>
      <c r="AB37" s="20">
        <f t="shared" ref="AB37:AB68" si="7">COUNTIF(E37:X37,"I")</f>
        <v>1</v>
      </c>
    </row>
    <row r="38" spans="1:28" ht="15" customHeight="1" x14ac:dyDescent="0.2">
      <c r="A38" s="35" t="str">
        <f>'Master Plan'!A38</f>
        <v>T-034</v>
      </c>
      <c r="B38" s="35" t="str">
        <f>'Master Plan'!B38</f>
        <v>3. Build &amp; Configure</v>
      </c>
      <c r="C38" s="35" t="str">
        <f>'Master Plan'!E38</f>
        <v>Network &amp; RF Install</v>
      </c>
      <c r="D38" s="35" t="str">
        <f>'Master Plan'!N38</f>
        <v>Not Started</v>
      </c>
      <c r="E38" s="20" t="str">
        <f>IF('Master Plan'!$G38=E$3,"R",IF('Master Plan'!$H38=E$3,"A",IF('Master Plan'!$I38=E$3,"C",IF('Master Plan'!$J38=E$3,"I",""))))</f>
        <v/>
      </c>
      <c r="F38" s="20" t="str">
        <f>IF('Master Plan'!$G38=F$3,"R",IF('Master Plan'!$H38=F$3,"A",IF('Master Plan'!$I38=F$3,"C",IF('Master Plan'!$J38=F$3,"I",""))))</f>
        <v/>
      </c>
      <c r="G38" s="20" t="str">
        <f>IF('Master Plan'!$G38=G$3,"R",IF('Master Plan'!$H38=G$3,"A",IF('Master Plan'!$I38=G$3,"C",IF('Master Plan'!$J38=G$3,"I",""))))</f>
        <v/>
      </c>
      <c r="H38" s="20" t="str">
        <f>IF('Master Plan'!$G38=H$3,"R",IF('Master Plan'!$H38=H$3,"A",IF('Master Plan'!$I38=H$3,"C",IF('Master Plan'!$J38=H$3,"I",""))))</f>
        <v>C</v>
      </c>
      <c r="I38" s="20" t="str">
        <f>IF('Master Plan'!$G38=I$3,"R",IF('Master Plan'!$H38=I$3,"A",IF('Master Plan'!$I38=I$3,"C",IF('Master Plan'!$J38=I$3,"I",""))))</f>
        <v/>
      </c>
      <c r="J38" s="20" t="str">
        <f>IF('Master Plan'!$G38=J$3,"R",IF('Master Plan'!$H38=J$3,"A",IF('Master Plan'!$I38=J$3,"C",IF('Master Plan'!$J38=J$3,"I",""))))</f>
        <v>I</v>
      </c>
      <c r="K38" s="20" t="str">
        <f>IF('Master Plan'!$G38=K$3,"R",IF('Master Plan'!$H38=K$3,"A",IF('Master Plan'!$I38=K$3,"C",IF('Master Plan'!$J38=K$3,"I",""))))</f>
        <v/>
      </c>
      <c r="L38" s="20" t="str">
        <f>IF('Master Plan'!$G38=L$3,"R",IF('Master Plan'!$H38=L$3,"A",IF('Master Plan'!$I38=L$3,"C",IF('Master Plan'!$J38=L$3,"I",""))))</f>
        <v/>
      </c>
      <c r="M38" s="20" t="str">
        <f>IF('Master Plan'!$G38=M$3,"R",IF('Master Plan'!$H38=M$3,"A",IF('Master Plan'!$I38=M$3,"C",IF('Master Plan'!$J38=M$3,"I",""))))</f>
        <v/>
      </c>
      <c r="N38" s="20" t="str">
        <f>IF('Master Plan'!$G38=N$3,"R",IF('Master Plan'!$H38=N$3,"A",IF('Master Plan'!$I38=N$3,"C",IF('Master Plan'!$J38=N$3,"I",""))))</f>
        <v/>
      </c>
      <c r="O38" s="20" t="str">
        <f>IF('Master Plan'!$G38=O$3,"R",IF('Master Plan'!$H38=O$3,"A",IF('Master Plan'!$I38=O$3,"C",IF('Master Plan'!$J38=O$3,"I",""))))</f>
        <v/>
      </c>
      <c r="P38" s="20" t="str">
        <f>IF('Master Plan'!$G38=P$3,"R",IF('Master Plan'!$H38=P$3,"A",IF('Master Plan'!$I38=P$3,"C",IF('Master Plan'!$J38=P$3,"I",""))))</f>
        <v/>
      </c>
      <c r="Q38" s="20" t="str">
        <f>IF('Master Plan'!$G38=Q$3,"R",IF('Master Plan'!$H38=Q$3,"A",IF('Master Plan'!$I38=Q$3,"C",IF('Master Plan'!$J38=Q$3,"I",""))))</f>
        <v/>
      </c>
      <c r="R38" s="20" t="str">
        <f>IF('Master Plan'!$G38=R$3,"R",IF('Master Plan'!$H38=R$3,"A",IF('Master Plan'!$I38=R$3,"C",IF('Master Plan'!$J38=R$3,"I",""))))</f>
        <v/>
      </c>
      <c r="S38" s="20" t="str">
        <f>IF('Master Plan'!$G38=S$3,"R",IF('Master Plan'!$H38=S$3,"A",IF('Master Plan'!$I38=S$3,"C",IF('Master Plan'!$J38=S$3,"I",""))))</f>
        <v/>
      </c>
      <c r="T38" s="20" t="str">
        <f>IF('Master Plan'!$G38=T$3,"R",IF('Master Plan'!$H38=T$3,"A",IF('Master Plan'!$I38=T$3,"C",IF('Master Plan'!$J38=T$3,"I",""))))</f>
        <v/>
      </c>
      <c r="U38" s="20" t="str">
        <f>IF('Master Plan'!$G38=U$3,"R",IF('Master Plan'!$H38=U$3,"A",IF('Master Plan'!$I38=U$3,"C",IF('Master Plan'!$J38=U$3,"I",""))))</f>
        <v/>
      </c>
      <c r="V38" s="20" t="str">
        <f>IF('Master Plan'!$G38=V$3,"R",IF('Master Plan'!$H38=V$3,"A",IF('Master Plan'!$I38=V$3,"C",IF('Master Plan'!$J38=V$3,"I",""))))</f>
        <v>R</v>
      </c>
      <c r="W38" s="20" t="str">
        <f>IF('Master Plan'!$G38=W$3,"R",IF('Master Plan'!$H38=W$3,"A",IF('Master Plan'!$I38=W$3,"C",IF('Master Plan'!$J38=W$3,"I",""))))</f>
        <v/>
      </c>
      <c r="X38" s="20" t="str">
        <f>IF('Master Plan'!$G38=X$3,"R",IF('Master Plan'!$H38=X$3,"A",IF('Master Plan'!$I38=X$3,"C",IF('Master Plan'!$J38=X$3,"I",""))))</f>
        <v/>
      </c>
      <c r="Y38" s="20">
        <f t="shared" si="4"/>
        <v>1</v>
      </c>
      <c r="Z38" s="20">
        <f t="shared" si="5"/>
        <v>0</v>
      </c>
      <c r="AA38" s="20">
        <f t="shared" si="6"/>
        <v>1</v>
      </c>
      <c r="AB38" s="20">
        <f t="shared" si="7"/>
        <v>1</v>
      </c>
    </row>
    <row r="39" spans="1:28" ht="15" customHeight="1" x14ac:dyDescent="0.2">
      <c r="A39" s="35" t="str">
        <f>'Master Plan'!A39</f>
        <v>T-035</v>
      </c>
      <c r="B39" s="35" t="str">
        <f>'Master Plan'!B39</f>
        <v>3. Build &amp; Configure</v>
      </c>
      <c r="C39" s="35" t="str">
        <f>'Master Plan'!E39</f>
        <v>SOP Development</v>
      </c>
      <c r="D39" s="35" t="str">
        <f>'Master Plan'!N39</f>
        <v>Not Started</v>
      </c>
      <c r="E39" s="20" t="str">
        <f>IF('Master Plan'!$G39=E$3,"R",IF('Master Plan'!$H39=E$3,"A",IF('Master Plan'!$I39=E$3,"C",IF('Master Plan'!$J39=E$3,"I",""))))</f>
        <v/>
      </c>
      <c r="F39" s="20" t="str">
        <f>IF('Master Plan'!$G39=F$3,"R",IF('Master Plan'!$H39=F$3,"A",IF('Master Plan'!$I39=F$3,"C",IF('Master Plan'!$J39=F$3,"I",""))))</f>
        <v/>
      </c>
      <c r="G39" s="20" t="str">
        <f>IF('Master Plan'!$G39=G$3,"R",IF('Master Plan'!$H39=G$3,"A",IF('Master Plan'!$I39=G$3,"C",IF('Master Plan'!$J39=G$3,"I",""))))</f>
        <v/>
      </c>
      <c r="H39" s="20" t="str">
        <f>IF('Master Plan'!$G39=H$3,"R",IF('Master Plan'!$H39=H$3,"A",IF('Master Plan'!$I39=H$3,"C",IF('Master Plan'!$J39=H$3,"I",""))))</f>
        <v/>
      </c>
      <c r="I39" s="20" t="str">
        <f>IF('Master Plan'!$G39=I$3,"R",IF('Master Plan'!$H39=I$3,"A",IF('Master Plan'!$I39=I$3,"C",IF('Master Plan'!$J39=I$3,"I",""))))</f>
        <v>I</v>
      </c>
      <c r="J39" s="20" t="str">
        <f>IF('Master Plan'!$G39=J$3,"R",IF('Master Plan'!$H39=J$3,"A",IF('Master Plan'!$I39=J$3,"C",IF('Master Plan'!$J39=J$3,"I",""))))</f>
        <v/>
      </c>
      <c r="K39" s="20" t="str">
        <f>IF('Master Plan'!$G39=K$3,"R",IF('Master Plan'!$H39=K$3,"A",IF('Master Plan'!$I39=K$3,"C",IF('Master Plan'!$J39=K$3,"I",""))))</f>
        <v/>
      </c>
      <c r="L39" s="20" t="str">
        <f>IF('Master Plan'!$G39=L$3,"R",IF('Master Plan'!$H39=L$3,"A",IF('Master Plan'!$I39=L$3,"C",IF('Master Plan'!$J39=L$3,"I",""))))</f>
        <v/>
      </c>
      <c r="M39" s="20" t="str">
        <f>IF('Master Plan'!$G39=M$3,"R",IF('Master Plan'!$H39=M$3,"A",IF('Master Plan'!$I39=M$3,"C",IF('Master Plan'!$J39=M$3,"I",""))))</f>
        <v/>
      </c>
      <c r="N39" s="20" t="str">
        <f>IF('Master Plan'!$G39=N$3,"R",IF('Master Plan'!$H39=N$3,"A",IF('Master Plan'!$I39=N$3,"C",IF('Master Plan'!$J39=N$3,"I",""))))</f>
        <v/>
      </c>
      <c r="O39" s="20" t="str">
        <f>IF('Master Plan'!$G39=O$3,"R",IF('Master Plan'!$H39=O$3,"A",IF('Master Plan'!$I39=O$3,"C",IF('Master Plan'!$J39=O$3,"I",""))))</f>
        <v>R</v>
      </c>
      <c r="P39" s="20" t="str">
        <f>IF('Master Plan'!$G39=P$3,"R",IF('Master Plan'!$H39=P$3,"A",IF('Master Plan'!$I39=P$3,"C",IF('Master Plan'!$J39=P$3,"I",""))))</f>
        <v/>
      </c>
      <c r="Q39" s="20" t="str">
        <f>IF('Master Plan'!$G39=Q$3,"R",IF('Master Plan'!$H39=Q$3,"A",IF('Master Plan'!$I39=Q$3,"C",IF('Master Plan'!$J39=Q$3,"I",""))))</f>
        <v/>
      </c>
      <c r="R39" s="20" t="str">
        <f>IF('Master Plan'!$G39=R$3,"R",IF('Master Plan'!$H39=R$3,"A",IF('Master Plan'!$I39=R$3,"C",IF('Master Plan'!$J39=R$3,"I",""))))</f>
        <v/>
      </c>
      <c r="S39" s="20" t="str">
        <f>IF('Master Plan'!$G39=S$3,"R",IF('Master Plan'!$H39=S$3,"A",IF('Master Plan'!$I39=S$3,"C",IF('Master Plan'!$J39=S$3,"I",""))))</f>
        <v/>
      </c>
      <c r="T39" s="20" t="str">
        <f>IF('Master Plan'!$G39=T$3,"R",IF('Master Plan'!$H39=T$3,"A",IF('Master Plan'!$I39=T$3,"C",IF('Master Plan'!$J39=T$3,"I",""))))</f>
        <v/>
      </c>
      <c r="U39" s="20" t="str">
        <f>IF('Master Plan'!$G39=U$3,"R",IF('Master Plan'!$H39=U$3,"A",IF('Master Plan'!$I39=U$3,"C",IF('Master Plan'!$J39=U$3,"I",""))))</f>
        <v>C</v>
      </c>
      <c r="V39" s="20" t="str">
        <f>IF('Master Plan'!$G39=V$3,"R",IF('Master Plan'!$H39=V$3,"A",IF('Master Plan'!$I39=V$3,"C",IF('Master Plan'!$J39=V$3,"I",""))))</f>
        <v/>
      </c>
      <c r="W39" s="20" t="str">
        <f>IF('Master Plan'!$G39=W$3,"R",IF('Master Plan'!$H39=W$3,"A",IF('Master Plan'!$I39=W$3,"C",IF('Master Plan'!$J39=W$3,"I",""))))</f>
        <v/>
      </c>
      <c r="X39" s="20" t="str">
        <f>IF('Master Plan'!$G39=X$3,"R",IF('Master Plan'!$H39=X$3,"A",IF('Master Plan'!$I39=X$3,"C",IF('Master Plan'!$J39=X$3,"I",""))))</f>
        <v/>
      </c>
      <c r="Y39" s="20">
        <f t="shared" si="4"/>
        <v>1</v>
      </c>
      <c r="Z39" s="20">
        <f t="shared" si="5"/>
        <v>0</v>
      </c>
      <c r="AA39" s="20">
        <f t="shared" si="6"/>
        <v>1</v>
      </c>
      <c r="AB39" s="20">
        <f t="shared" si="7"/>
        <v>1</v>
      </c>
    </row>
    <row r="40" spans="1:28" ht="15" customHeight="1" x14ac:dyDescent="0.2">
      <c r="A40" s="35" t="str">
        <f>'Master Plan'!A40</f>
        <v>T-036</v>
      </c>
      <c r="B40" s="35" t="str">
        <f>'Master Plan'!B40</f>
        <v>3. Build &amp; Configure</v>
      </c>
      <c r="C40" s="35" t="str">
        <f>'Master Plan'!E40</f>
        <v>Hiring Plan</v>
      </c>
      <c r="D40" s="35" t="str">
        <f>'Master Plan'!N40</f>
        <v>Not Started</v>
      </c>
      <c r="E40" s="20" t="str">
        <f>IF('Master Plan'!$G40=E$3,"R",IF('Master Plan'!$H40=E$3,"A",IF('Master Plan'!$I40=E$3,"C",IF('Master Plan'!$J40=E$3,"I",""))))</f>
        <v/>
      </c>
      <c r="F40" s="20" t="str">
        <f>IF('Master Plan'!$G40=F$3,"R",IF('Master Plan'!$H40=F$3,"A",IF('Master Plan'!$I40=F$3,"C",IF('Master Plan'!$J40=F$3,"I",""))))</f>
        <v/>
      </c>
      <c r="G40" s="20" t="str">
        <f>IF('Master Plan'!$G40=G$3,"R",IF('Master Plan'!$H40=G$3,"A",IF('Master Plan'!$I40=G$3,"C",IF('Master Plan'!$J40=G$3,"I",""))))</f>
        <v/>
      </c>
      <c r="H40" s="20" t="str">
        <f>IF('Master Plan'!$G40=H$3,"R",IF('Master Plan'!$H40=H$3,"A",IF('Master Plan'!$I40=H$3,"C",IF('Master Plan'!$J40=H$3,"I",""))))</f>
        <v/>
      </c>
      <c r="I40" s="20" t="str">
        <f>IF('Master Plan'!$G40=I$3,"R",IF('Master Plan'!$H40=I$3,"A",IF('Master Plan'!$I40=I$3,"C",IF('Master Plan'!$J40=I$3,"I",""))))</f>
        <v/>
      </c>
      <c r="J40" s="20" t="str">
        <f>IF('Master Plan'!$G40=J$3,"R",IF('Master Plan'!$H40=J$3,"A",IF('Master Plan'!$I40=J$3,"C",IF('Master Plan'!$J40=J$3,"I",""))))</f>
        <v/>
      </c>
      <c r="K40" s="20" t="str">
        <f>IF('Master Plan'!$G40=K$3,"R",IF('Master Plan'!$H40=K$3,"A",IF('Master Plan'!$I40=K$3,"C",IF('Master Plan'!$J40=K$3,"I",""))))</f>
        <v/>
      </c>
      <c r="L40" s="20" t="str">
        <f>IF('Master Plan'!$G40=L$3,"R",IF('Master Plan'!$H40=L$3,"A",IF('Master Plan'!$I40=L$3,"C",IF('Master Plan'!$J40=L$3,"I",""))))</f>
        <v/>
      </c>
      <c r="M40" s="20" t="str">
        <f>IF('Master Plan'!$G40=M$3,"R",IF('Master Plan'!$H40=M$3,"A",IF('Master Plan'!$I40=M$3,"C",IF('Master Plan'!$J40=M$3,"I",""))))</f>
        <v/>
      </c>
      <c r="N40" s="20" t="str">
        <f>IF('Master Plan'!$G40=N$3,"R",IF('Master Plan'!$H40=N$3,"A",IF('Master Plan'!$I40=N$3,"C",IF('Master Plan'!$J40=N$3,"I",""))))</f>
        <v/>
      </c>
      <c r="O40" s="20" t="str">
        <f>IF('Master Plan'!$G40=O$3,"R",IF('Master Plan'!$H40=O$3,"A",IF('Master Plan'!$I40=O$3,"C",IF('Master Plan'!$J40=O$3,"I",""))))</f>
        <v>R</v>
      </c>
      <c r="P40" s="20" t="str">
        <f>IF('Master Plan'!$G40=P$3,"R",IF('Master Plan'!$H40=P$3,"A",IF('Master Plan'!$I40=P$3,"C",IF('Master Plan'!$J40=P$3,"I",""))))</f>
        <v/>
      </c>
      <c r="Q40" s="20" t="str">
        <f>IF('Master Plan'!$G40=Q$3,"R",IF('Master Plan'!$H40=Q$3,"A",IF('Master Plan'!$I40=Q$3,"C",IF('Master Plan'!$J40=Q$3,"I",""))))</f>
        <v/>
      </c>
      <c r="R40" s="20" t="str">
        <f>IF('Master Plan'!$G40=R$3,"R",IF('Master Plan'!$H40=R$3,"A",IF('Master Plan'!$I40=R$3,"C",IF('Master Plan'!$J40=R$3,"I",""))))</f>
        <v/>
      </c>
      <c r="S40" s="20" t="str">
        <f>IF('Master Plan'!$G40=S$3,"R",IF('Master Plan'!$H40=S$3,"A",IF('Master Plan'!$I40=S$3,"C",IF('Master Plan'!$J40=S$3,"I",""))))</f>
        <v/>
      </c>
      <c r="T40" s="20" t="str">
        <f>IF('Master Plan'!$G40=T$3,"R",IF('Master Plan'!$H40=T$3,"A",IF('Master Plan'!$I40=T$3,"C",IF('Master Plan'!$J40=T$3,"I",""))))</f>
        <v>I</v>
      </c>
      <c r="U40" s="20" t="str">
        <f>IF('Master Plan'!$G40=U$3,"R",IF('Master Plan'!$H40=U$3,"A",IF('Master Plan'!$I40=U$3,"C",IF('Master Plan'!$J40=U$3,"I",""))))</f>
        <v>C</v>
      </c>
      <c r="V40" s="20" t="str">
        <f>IF('Master Plan'!$G40=V$3,"R",IF('Master Plan'!$H40=V$3,"A",IF('Master Plan'!$I40=V$3,"C",IF('Master Plan'!$J40=V$3,"I",""))))</f>
        <v/>
      </c>
      <c r="W40" s="20" t="str">
        <f>IF('Master Plan'!$G40=W$3,"R",IF('Master Plan'!$H40=W$3,"A",IF('Master Plan'!$I40=W$3,"C",IF('Master Plan'!$J40=W$3,"I",""))))</f>
        <v/>
      </c>
      <c r="X40" s="20" t="str">
        <f>IF('Master Plan'!$G40=X$3,"R",IF('Master Plan'!$H40=X$3,"A",IF('Master Plan'!$I40=X$3,"C",IF('Master Plan'!$J40=X$3,"I",""))))</f>
        <v/>
      </c>
      <c r="Y40" s="20">
        <f t="shared" si="4"/>
        <v>1</v>
      </c>
      <c r="Z40" s="20">
        <f t="shared" si="5"/>
        <v>0</v>
      </c>
      <c r="AA40" s="20">
        <f t="shared" si="6"/>
        <v>1</v>
      </c>
      <c r="AB40" s="20">
        <f t="shared" si="7"/>
        <v>1</v>
      </c>
    </row>
    <row r="41" spans="1:28" ht="15" customHeight="1" x14ac:dyDescent="0.2">
      <c r="A41" s="35" t="str">
        <f>'Master Plan'!A41</f>
        <v>T-037</v>
      </c>
      <c r="B41" s="35" t="str">
        <f>'Master Plan'!B41</f>
        <v>3. Build &amp; Configure</v>
      </c>
      <c r="C41" s="35" t="str">
        <f>'Master Plan'!E41</f>
        <v>Carrier Onboarding</v>
      </c>
      <c r="D41" s="35" t="str">
        <f>'Master Plan'!N41</f>
        <v>Not Started</v>
      </c>
      <c r="E41" s="20" t="str">
        <f>IF('Master Plan'!$G41=E$3,"R",IF('Master Plan'!$H41=E$3,"A",IF('Master Plan'!$I41=E$3,"C",IF('Master Plan'!$J41=E$3,"I",""))))</f>
        <v/>
      </c>
      <c r="F41" s="20" t="str">
        <f>IF('Master Plan'!$G41=F$3,"R",IF('Master Plan'!$H41=F$3,"A",IF('Master Plan'!$I41=F$3,"C",IF('Master Plan'!$J41=F$3,"I",""))))</f>
        <v/>
      </c>
      <c r="G41" s="20" t="str">
        <f>IF('Master Plan'!$G41=G$3,"R",IF('Master Plan'!$H41=G$3,"A",IF('Master Plan'!$I41=G$3,"C",IF('Master Plan'!$J41=G$3,"I",""))))</f>
        <v/>
      </c>
      <c r="H41" s="20" t="str">
        <f>IF('Master Plan'!$G41=H$3,"R",IF('Master Plan'!$H41=H$3,"A",IF('Master Plan'!$I41=H$3,"C",IF('Master Plan'!$J41=H$3,"I",""))))</f>
        <v/>
      </c>
      <c r="I41" s="20" t="str">
        <f>IF('Master Plan'!$G41=I$3,"R",IF('Master Plan'!$H41=I$3,"A",IF('Master Plan'!$I41=I$3,"C",IF('Master Plan'!$J41=I$3,"I",""))))</f>
        <v/>
      </c>
      <c r="J41" s="20" t="str">
        <f>IF('Master Plan'!$G41=J$3,"R",IF('Master Plan'!$H41=J$3,"A",IF('Master Plan'!$I41=J$3,"C",IF('Master Plan'!$J41=J$3,"I",""))))</f>
        <v/>
      </c>
      <c r="K41" s="20" t="str">
        <f>IF('Master Plan'!$G41=K$3,"R",IF('Master Plan'!$H41=K$3,"A",IF('Master Plan'!$I41=K$3,"C",IF('Master Plan'!$J41=K$3,"I",""))))</f>
        <v/>
      </c>
      <c r="L41" s="20" t="str">
        <f>IF('Master Plan'!$G41=L$3,"R",IF('Master Plan'!$H41=L$3,"A",IF('Master Plan'!$I41=L$3,"C",IF('Master Plan'!$J41=L$3,"I",""))))</f>
        <v>C</v>
      </c>
      <c r="M41" s="20" t="str">
        <f>IF('Master Plan'!$G41=M$3,"R",IF('Master Plan'!$H41=M$3,"A",IF('Master Plan'!$I41=M$3,"C",IF('Master Plan'!$J41=M$3,"I",""))))</f>
        <v/>
      </c>
      <c r="N41" s="20" t="str">
        <f>IF('Master Plan'!$G41=N$3,"R",IF('Master Plan'!$H41=N$3,"A",IF('Master Plan'!$I41=N$3,"C",IF('Master Plan'!$J41=N$3,"I",""))))</f>
        <v/>
      </c>
      <c r="O41" s="20" t="str">
        <f>IF('Master Plan'!$G41=O$3,"R",IF('Master Plan'!$H41=O$3,"A",IF('Master Plan'!$I41=O$3,"C",IF('Master Plan'!$J41=O$3,"I",""))))</f>
        <v/>
      </c>
      <c r="P41" s="20" t="str">
        <f>IF('Master Plan'!$G41=P$3,"R",IF('Master Plan'!$H41=P$3,"A",IF('Master Plan'!$I41=P$3,"C",IF('Master Plan'!$J41=P$3,"I",""))))</f>
        <v>R</v>
      </c>
      <c r="Q41" s="20" t="str">
        <f>IF('Master Plan'!$G41=Q$3,"R",IF('Master Plan'!$H41=Q$3,"A",IF('Master Plan'!$I41=Q$3,"C",IF('Master Plan'!$J41=Q$3,"I",""))))</f>
        <v>I</v>
      </c>
      <c r="R41" s="20" t="str">
        <f>IF('Master Plan'!$G41=R$3,"R",IF('Master Plan'!$H41=R$3,"A",IF('Master Plan'!$I41=R$3,"C",IF('Master Plan'!$J41=R$3,"I",""))))</f>
        <v/>
      </c>
      <c r="S41" s="20" t="str">
        <f>IF('Master Plan'!$G41=S$3,"R",IF('Master Plan'!$H41=S$3,"A",IF('Master Plan'!$I41=S$3,"C",IF('Master Plan'!$J41=S$3,"I",""))))</f>
        <v/>
      </c>
      <c r="T41" s="20" t="str">
        <f>IF('Master Plan'!$G41=T$3,"R",IF('Master Plan'!$H41=T$3,"A",IF('Master Plan'!$I41=T$3,"C",IF('Master Plan'!$J41=T$3,"I",""))))</f>
        <v/>
      </c>
      <c r="U41" s="20" t="str">
        <f>IF('Master Plan'!$G41=U$3,"R",IF('Master Plan'!$H41=U$3,"A",IF('Master Plan'!$I41=U$3,"C",IF('Master Plan'!$J41=U$3,"I",""))))</f>
        <v/>
      </c>
      <c r="V41" s="20" t="str">
        <f>IF('Master Plan'!$G41=V$3,"R",IF('Master Plan'!$H41=V$3,"A",IF('Master Plan'!$I41=V$3,"C",IF('Master Plan'!$J41=V$3,"I",""))))</f>
        <v/>
      </c>
      <c r="W41" s="20" t="str">
        <f>IF('Master Plan'!$G41=W$3,"R",IF('Master Plan'!$H41=W$3,"A",IF('Master Plan'!$I41=W$3,"C",IF('Master Plan'!$J41=W$3,"I",""))))</f>
        <v/>
      </c>
      <c r="X41" s="20" t="str">
        <f>IF('Master Plan'!$G41=X$3,"R",IF('Master Plan'!$H41=X$3,"A",IF('Master Plan'!$I41=X$3,"C",IF('Master Plan'!$J41=X$3,"I",""))))</f>
        <v/>
      </c>
      <c r="Y41" s="20">
        <f t="shared" si="4"/>
        <v>1</v>
      </c>
      <c r="Z41" s="20">
        <f t="shared" si="5"/>
        <v>0</v>
      </c>
      <c r="AA41" s="20">
        <f t="shared" si="6"/>
        <v>1</v>
      </c>
      <c r="AB41" s="20">
        <f t="shared" si="7"/>
        <v>1</v>
      </c>
    </row>
    <row r="42" spans="1:28" ht="15" customHeight="1" x14ac:dyDescent="0.2">
      <c r="A42" s="35" t="str">
        <f>'Master Plan'!A42</f>
        <v>T-038</v>
      </c>
      <c r="B42" s="35" t="str">
        <f>'Master Plan'!B42</f>
        <v>3. Build &amp; Configure</v>
      </c>
      <c r="C42" s="35" t="str">
        <f>'Master Plan'!E42</f>
        <v>Capex Tracking</v>
      </c>
      <c r="D42" s="35" t="str">
        <f>'Master Plan'!N42</f>
        <v>Not Started</v>
      </c>
      <c r="E42" s="20" t="str">
        <f>IF('Master Plan'!$G42=E$3,"R",IF('Master Plan'!$H42=E$3,"A",IF('Master Plan'!$I42=E$3,"C",IF('Master Plan'!$J42=E$3,"I",""))))</f>
        <v>I</v>
      </c>
      <c r="F42" s="20" t="str">
        <f>IF('Master Plan'!$G42=F$3,"R",IF('Master Plan'!$H42=F$3,"A",IF('Master Plan'!$I42=F$3,"C",IF('Master Plan'!$J42=F$3,"I",""))))</f>
        <v>C</v>
      </c>
      <c r="G42" s="20" t="str">
        <f>IF('Master Plan'!$G42=G$3,"R",IF('Master Plan'!$H42=G$3,"A",IF('Master Plan'!$I42=G$3,"C",IF('Master Plan'!$J42=G$3,"I",""))))</f>
        <v/>
      </c>
      <c r="H42" s="20" t="str">
        <f>IF('Master Plan'!$G42=H$3,"R",IF('Master Plan'!$H42=H$3,"A",IF('Master Plan'!$I42=H$3,"C",IF('Master Plan'!$J42=H$3,"I",""))))</f>
        <v/>
      </c>
      <c r="I42" s="20" t="str">
        <f>IF('Master Plan'!$G42=I$3,"R",IF('Master Plan'!$H42=I$3,"A",IF('Master Plan'!$I42=I$3,"C",IF('Master Plan'!$J42=I$3,"I",""))))</f>
        <v/>
      </c>
      <c r="J42" s="20" t="str">
        <f>IF('Master Plan'!$G42=J$3,"R",IF('Master Plan'!$H42=J$3,"A",IF('Master Plan'!$I42=J$3,"C",IF('Master Plan'!$J42=J$3,"I",""))))</f>
        <v/>
      </c>
      <c r="K42" s="20" t="str">
        <f>IF('Master Plan'!$G42=K$3,"R",IF('Master Plan'!$H42=K$3,"A",IF('Master Plan'!$I42=K$3,"C",IF('Master Plan'!$J42=K$3,"I",""))))</f>
        <v/>
      </c>
      <c r="L42" s="20" t="str">
        <f>IF('Master Plan'!$G42=L$3,"R",IF('Master Plan'!$H42=L$3,"A",IF('Master Plan'!$I42=L$3,"C",IF('Master Plan'!$J42=L$3,"I",""))))</f>
        <v/>
      </c>
      <c r="M42" s="20" t="str">
        <f>IF('Master Plan'!$G42=M$3,"R",IF('Master Plan'!$H42=M$3,"A",IF('Master Plan'!$I42=M$3,"C",IF('Master Plan'!$J42=M$3,"I",""))))</f>
        <v/>
      </c>
      <c r="N42" s="20" t="str">
        <f>IF('Master Plan'!$G42=N$3,"R",IF('Master Plan'!$H42=N$3,"A",IF('Master Plan'!$I42=N$3,"C",IF('Master Plan'!$J42=N$3,"I",""))))</f>
        <v/>
      </c>
      <c r="O42" s="20" t="str">
        <f>IF('Master Plan'!$G42=O$3,"R",IF('Master Plan'!$H42=O$3,"A",IF('Master Plan'!$I42=O$3,"C",IF('Master Plan'!$J42=O$3,"I",""))))</f>
        <v/>
      </c>
      <c r="P42" s="20" t="str">
        <f>IF('Master Plan'!$G42=P$3,"R",IF('Master Plan'!$H42=P$3,"A",IF('Master Plan'!$I42=P$3,"C",IF('Master Plan'!$J42=P$3,"I",""))))</f>
        <v/>
      </c>
      <c r="Q42" s="20" t="str">
        <f>IF('Master Plan'!$G42=Q$3,"R",IF('Master Plan'!$H42=Q$3,"A",IF('Master Plan'!$I42=Q$3,"C",IF('Master Plan'!$J42=Q$3,"I",""))))</f>
        <v/>
      </c>
      <c r="R42" s="20" t="str">
        <f>IF('Master Plan'!$G42=R$3,"R",IF('Master Plan'!$H42=R$3,"A",IF('Master Plan'!$I42=R$3,"C",IF('Master Plan'!$J42=R$3,"I",""))))</f>
        <v/>
      </c>
      <c r="S42" s="20" t="str">
        <f>IF('Master Plan'!$G42=S$3,"R",IF('Master Plan'!$H42=S$3,"A",IF('Master Plan'!$I42=S$3,"C",IF('Master Plan'!$J42=S$3,"I",""))))</f>
        <v/>
      </c>
      <c r="T42" s="20" t="str">
        <f>IF('Master Plan'!$G42=T$3,"R",IF('Master Plan'!$H42=T$3,"A",IF('Master Plan'!$I42=T$3,"C",IF('Master Plan'!$J42=T$3,"I",""))))</f>
        <v>R</v>
      </c>
      <c r="U42" s="20" t="str">
        <f>IF('Master Plan'!$G42=U$3,"R",IF('Master Plan'!$H42=U$3,"A",IF('Master Plan'!$I42=U$3,"C",IF('Master Plan'!$J42=U$3,"I",""))))</f>
        <v/>
      </c>
      <c r="V42" s="20" t="str">
        <f>IF('Master Plan'!$G42=V$3,"R",IF('Master Plan'!$H42=V$3,"A",IF('Master Plan'!$I42=V$3,"C",IF('Master Plan'!$J42=V$3,"I",""))))</f>
        <v/>
      </c>
      <c r="W42" s="20" t="str">
        <f>IF('Master Plan'!$G42=W$3,"R",IF('Master Plan'!$H42=W$3,"A",IF('Master Plan'!$I42=W$3,"C",IF('Master Plan'!$J42=W$3,"I",""))))</f>
        <v/>
      </c>
      <c r="X42" s="20" t="str">
        <f>IF('Master Plan'!$G42=X$3,"R",IF('Master Plan'!$H42=X$3,"A",IF('Master Plan'!$I42=X$3,"C",IF('Master Plan'!$J42=X$3,"I",""))))</f>
        <v/>
      </c>
      <c r="Y42" s="20">
        <f t="shared" si="4"/>
        <v>1</v>
      </c>
      <c r="Z42" s="20">
        <f t="shared" si="5"/>
        <v>0</v>
      </c>
      <c r="AA42" s="20">
        <f t="shared" si="6"/>
        <v>1</v>
      </c>
      <c r="AB42" s="20">
        <f t="shared" si="7"/>
        <v>1</v>
      </c>
    </row>
    <row r="43" spans="1:28" ht="15" customHeight="1" x14ac:dyDescent="0.2">
      <c r="A43" s="35" t="str">
        <f>'Master Plan'!A43</f>
        <v>T-039</v>
      </c>
      <c r="B43" s="35" t="str">
        <f>'Master Plan'!B43</f>
        <v>3. Build &amp; Configure</v>
      </c>
      <c r="C43" s="35" t="str">
        <f>'Master Plan'!E43</f>
        <v>Weekly Status Report</v>
      </c>
      <c r="D43" s="35" t="str">
        <f>'Master Plan'!N43</f>
        <v>Not Started</v>
      </c>
      <c r="E43" s="20" t="str">
        <f>IF('Master Plan'!$G43=E$3,"R",IF('Master Plan'!$H43=E$3,"A",IF('Master Plan'!$I43=E$3,"C",IF('Master Plan'!$J43=E$3,"I",""))))</f>
        <v>I</v>
      </c>
      <c r="F43" s="20" t="str">
        <f>IF('Master Plan'!$G43=F$3,"R",IF('Master Plan'!$H43=F$3,"A",IF('Master Plan'!$I43=F$3,"C",IF('Master Plan'!$J43=F$3,"I",""))))</f>
        <v>A</v>
      </c>
      <c r="G43" s="20" t="str">
        <f>IF('Master Plan'!$G43=G$3,"R",IF('Master Plan'!$H43=G$3,"A",IF('Master Plan'!$I43=G$3,"C",IF('Master Plan'!$J43=G$3,"I",""))))</f>
        <v>R</v>
      </c>
      <c r="H43" s="20" t="str">
        <f>IF('Master Plan'!$G43=H$3,"R",IF('Master Plan'!$H43=H$3,"A",IF('Master Plan'!$I43=H$3,"C",IF('Master Plan'!$J43=H$3,"I",""))))</f>
        <v/>
      </c>
      <c r="I43" s="20" t="str">
        <f>IF('Master Plan'!$G43=I$3,"R",IF('Master Plan'!$H43=I$3,"A",IF('Master Plan'!$I43=I$3,"C",IF('Master Plan'!$J43=I$3,"I",""))))</f>
        <v>C</v>
      </c>
      <c r="J43" s="20" t="str">
        <f>IF('Master Plan'!$G43=J$3,"R",IF('Master Plan'!$H43=J$3,"A",IF('Master Plan'!$I43=J$3,"C",IF('Master Plan'!$J43=J$3,"I",""))))</f>
        <v/>
      </c>
      <c r="K43" s="20" t="str">
        <f>IF('Master Plan'!$G43=K$3,"R",IF('Master Plan'!$H43=K$3,"A",IF('Master Plan'!$I43=K$3,"C",IF('Master Plan'!$J43=K$3,"I",""))))</f>
        <v/>
      </c>
      <c r="L43" s="20" t="str">
        <f>IF('Master Plan'!$G43=L$3,"R",IF('Master Plan'!$H43=L$3,"A",IF('Master Plan'!$I43=L$3,"C",IF('Master Plan'!$J43=L$3,"I",""))))</f>
        <v/>
      </c>
      <c r="M43" s="20" t="str">
        <f>IF('Master Plan'!$G43=M$3,"R",IF('Master Plan'!$H43=M$3,"A",IF('Master Plan'!$I43=M$3,"C",IF('Master Plan'!$J43=M$3,"I",""))))</f>
        <v/>
      </c>
      <c r="N43" s="20" t="str">
        <f>IF('Master Plan'!$G43=N$3,"R",IF('Master Plan'!$H43=N$3,"A",IF('Master Plan'!$I43=N$3,"C",IF('Master Plan'!$J43=N$3,"I",""))))</f>
        <v/>
      </c>
      <c r="O43" s="20" t="str">
        <f>IF('Master Plan'!$G43=O$3,"R",IF('Master Plan'!$H43=O$3,"A",IF('Master Plan'!$I43=O$3,"C",IF('Master Plan'!$J43=O$3,"I",""))))</f>
        <v/>
      </c>
      <c r="P43" s="20" t="str">
        <f>IF('Master Plan'!$G43=P$3,"R",IF('Master Plan'!$H43=P$3,"A",IF('Master Plan'!$I43=P$3,"C",IF('Master Plan'!$J43=P$3,"I",""))))</f>
        <v/>
      </c>
      <c r="Q43" s="20" t="str">
        <f>IF('Master Plan'!$G43=Q$3,"R",IF('Master Plan'!$H43=Q$3,"A",IF('Master Plan'!$I43=Q$3,"C",IF('Master Plan'!$J43=Q$3,"I",""))))</f>
        <v/>
      </c>
      <c r="R43" s="20" t="str">
        <f>IF('Master Plan'!$G43=R$3,"R",IF('Master Plan'!$H43=R$3,"A",IF('Master Plan'!$I43=R$3,"C",IF('Master Plan'!$J43=R$3,"I",""))))</f>
        <v/>
      </c>
      <c r="S43" s="20" t="str">
        <f>IF('Master Plan'!$G43=S$3,"R",IF('Master Plan'!$H43=S$3,"A",IF('Master Plan'!$I43=S$3,"C",IF('Master Plan'!$J43=S$3,"I",""))))</f>
        <v/>
      </c>
      <c r="T43" s="20" t="str">
        <f>IF('Master Plan'!$G43=T$3,"R",IF('Master Plan'!$H43=T$3,"A",IF('Master Plan'!$I43=T$3,"C",IF('Master Plan'!$J43=T$3,"I",""))))</f>
        <v/>
      </c>
      <c r="U43" s="20" t="str">
        <f>IF('Master Plan'!$G43=U$3,"R",IF('Master Plan'!$H43=U$3,"A",IF('Master Plan'!$I43=U$3,"C",IF('Master Plan'!$J43=U$3,"I",""))))</f>
        <v/>
      </c>
      <c r="V43" s="20" t="str">
        <f>IF('Master Plan'!$G43=V$3,"R",IF('Master Plan'!$H43=V$3,"A",IF('Master Plan'!$I43=V$3,"C",IF('Master Plan'!$J43=V$3,"I",""))))</f>
        <v/>
      </c>
      <c r="W43" s="20" t="str">
        <f>IF('Master Plan'!$G43=W$3,"R",IF('Master Plan'!$H43=W$3,"A",IF('Master Plan'!$I43=W$3,"C",IF('Master Plan'!$J43=W$3,"I",""))))</f>
        <v/>
      </c>
      <c r="X43" s="20" t="str">
        <f>IF('Master Plan'!$G43=X$3,"R",IF('Master Plan'!$H43=X$3,"A",IF('Master Plan'!$I43=X$3,"C",IF('Master Plan'!$J43=X$3,"I",""))))</f>
        <v/>
      </c>
      <c r="Y43" s="20">
        <f t="shared" si="4"/>
        <v>1</v>
      </c>
      <c r="Z43" s="20">
        <f t="shared" si="5"/>
        <v>1</v>
      </c>
      <c r="AA43" s="20">
        <f t="shared" si="6"/>
        <v>1</v>
      </c>
      <c r="AB43" s="20">
        <f t="shared" si="7"/>
        <v>1</v>
      </c>
    </row>
    <row r="44" spans="1:28" ht="15" customHeight="1" x14ac:dyDescent="0.2">
      <c r="A44" s="35" t="str">
        <f>'Master Plan'!A44</f>
        <v>T-040</v>
      </c>
      <c r="B44" s="35" t="str">
        <f>'Master Plan'!B44</f>
        <v>3. Build &amp; Configure</v>
      </c>
      <c r="C44" s="35" t="str">
        <f>'Master Plan'!E44</f>
        <v>Gate 3 Review</v>
      </c>
      <c r="D44" s="35" t="str">
        <f>'Master Plan'!N44</f>
        <v>Not Started</v>
      </c>
      <c r="E44" s="20" t="str">
        <f>IF('Master Plan'!$G44=E$3,"R",IF('Master Plan'!$H44=E$3,"A",IF('Master Plan'!$I44=E$3,"C",IF('Master Plan'!$J44=E$3,"I",""))))</f>
        <v>A</v>
      </c>
      <c r="F44" s="20" t="str">
        <f>IF('Master Plan'!$G44=F$3,"R",IF('Master Plan'!$H44=F$3,"A",IF('Master Plan'!$I44=F$3,"C",IF('Master Plan'!$J44=F$3,"I",""))))</f>
        <v>R</v>
      </c>
      <c r="G44" s="20" t="str">
        <f>IF('Master Plan'!$G44=G$3,"R",IF('Master Plan'!$H44=G$3,"A",IF('Master Plan'!$I44=G$3,"C",IF('Master Plan'!$J44=G$3,"I",""))))</f>
        <v/>
      </c>
      <c r="H44" s="20" t="str">
        <f>IF('Master Plan'!$G44=H$3,"R",IF('Master Plan'!$H44=H$3,"A",IF('Master Plan'!$I44=H$3,"C",IF('Master Plan'!$J44=H$3,"I",""))))</f>
        <v/>
      </c>
      <c r="I44" s="20" t="str">
        <f>IF('Master Plan'!$G44=I$3,"R",IF('Master Plan'!$H44=I$3,"A",IF('Master Plan'!$I44=I$3,"C",IF('Master Plan'!$J44=I$3,"I",""))))</f>
        <v/>
      </c>
      <c r="J44" s="20" t="str">
        <f>IF('Master Plan'!$G44=J$3,"R",IF('Master Plan'!$H44=J$3,"A",IF('Master Plan'!$I44=J$3,"C",IF('Master Plan'!$J44=J$3,"I",""))))</f>
        <v>C</v>
      </c>
      <c r="K44" s="20" t="str">
        <f>IF('Master Plan'!$G44=K$3,"R",IF('Master Plan'!$H44=K$3,"A",IF('Master Plan'!$I44=K$3,"C",IF('Master Plan'!$J44=K$3,"I",""))))</f>
        <v>I</v>
      </c>
      <c r="L44" s="20" t="str">
        <f>IF('Master Plan'!$G44=L$3,"R",IF('Master Plan'!$H44=L$3,"A",IF('Master Plan'!$I44=L$3,"C",IF('Master Plan'!$J44=L$3,"I",""))))</f>
        <v/>
      </c>
      <c r="M44" s="20" t="str">
        <f>IF('Master Plan'!$G44=M$3,"R",IF('Master Plan'!$H44=M$3,"A",IF('Master Plan'!$I44=M$3,"C",IF('Master Plan'!$J44=M$3,"I",""))))</f>
        <v/>
      </c>
      <c r="N44" s="20" t="str">
        <f>IF('Master Plan'!$G44=N$3,"R",IF('Master Plan'!$H44=N$3,"A",IF('Master Plan'!$I44=N$3,"C",IF('Master Plan'!$J44=N$3,"I",""))))</f>
        <v/>
      </c>
      <c r="O44" s="20" t="str">
        <f>IF('Master Plan'!$G44=O$3,"R",IF('Master Plan'!$H44=O$3,"A",IF('Master Plan'!$I44=O$3,"C",IF('Master Plan'!$J44=O$3,"I",""))))</f>
        <v/>
      </c>
      <c r="P44" s="20" t="str">
        <f>IF('Master Plan'!$G44=P$3,"R",IF('Master Plan'!$H44=P$3,"A",IF('Master Plan'!$I44=P$3,"C",IF('Master Plan'!$J44=P$3,"I",""))))</f>
        <v/>
      </c>
      <c r="Q44" s="20" t="str">
        <f>IF('Master Plan'!$G44=Q$3,"R",IF('Master Plan'!$H44=Q$3,"A",IF('Master Plan'!$I44=Q$3,"C",IF('Master Plan'!$J44=Q$3,"I",""))))</f>
        <v/>
      </c>
      <c r="R44" s="20" t="str">
        <f>IF('Master Plan'!$G44=R$3,"R",IF('Master Plan'!$H44=R$3,"A",IF('Master Plan'!$I44=R$3,"C",IF('Master Plan'!$J44=R$3,"I",""))))</f>
        <v/>
      </c>
      <c r="S44" s="20" t="str">
        <f>IF('Master Plan'!$G44=S$3,"R",IF('Master Plan'!$H44=S$3,"A",IF('Master Plan'!$I44=S$3,"C",IF('Master Plan'!$J44=S$3,"I",""))))</f>
        <v/>
      </c>
      <c r="T44" s="20" t="str">
        <f>IF('Master Plan'!$G44=T$3,"R",IF('Master Plan'!$H44=T$3,"A",IF('Master Plan'!$I44=T$3,"C",IF('Master Plan'!$J44=T$3,"I",""))))</f>
        <v/>
      </c>
      <c r="U44" s="20" t="str">
        <f>IF('Master Plan'!$G44=U$3,"R",IF('Master Plan'!$H44=U$3,"A",IF('Master Plan'!$I44=U$3,"C",IF('Master Plan'!$J44=U$3,"I",""))))</f>
        <v/>
      </c>
      <c r="V44" s="20" t="str">
        <f>IF('Master Plan'!$G44=V$3,"R",IF('Master Plan'!$H44=V$3,"A",IF('Master Plan'!$I44=V$3,"C",IF('Master Plan'!$J44=V$3,"I",""))))</f>
        <v/>
      </c>
      <c r="W44" s="20" t="str">
        <f>IF('Master Plan'!$G44=W$3,"R",IF('Master Plan'!$H44=W$3,"A",IF('Master Plan'!$I44=W$3,"C",IF('Master Plan'!$J44=W$3,"I",""))))</f>
        <v/>
      </c>
      <c r="X44" s="20" t="str">
        <f>IF('Master Plan'!$G44=X$3,"R",IF('Master Plan'!$H44=X$3,"A",IF('Master Plan'!$I44=X$3,"C",IF('Master Plan'!$J44=X$3,"I",""))))</f>
        <v/>
      </c>
      <c r="Y44" s="20">
        <f t="shared" si="4"/>
        <v>1</v>
      </c>
      <c r="Z44" s="20">
        <f t="shared" si="5"/>
        <v>1</v>
      </c>
      <c r="AA44" s="20">
        <f t="shared" si="6"/>
        <v>1</v>
      </c>
      <c r="AB44" s="20">
        <f t="shared" si="7"/>
        <v>1</v>
      </c>
    </row>
    <row r="45" spans="1:28" ht="15" customHeight="1" x14ac:dyDescent="0.2">
      <c r="A45" s="35" t="str">
        <f>'Master Plan'!A45</f>
        <v>T-041</v>
      </c>
      <c r="B45" s="35" t="str">
        <f>'Master Plan'!B45</f>
        <v>4. Site Readiness</v>
      </c>
      <c r="C45" s="35" t="str">
        <f>'Master Plan'!E45</f>
        <v>Racking Install</v>
      </c>
      <c r="D45" s="35" t="str">
        <f>'Master Plan'!N45</f>
        <v>Not Started</v>
      </c>
      <c r="E45" s="20" t="str">
        <f>IF('Master Plan'!$G45=E$3,"R",IF('Master Plan'!$H45=E$3,"A",IF('Master Plan'!$I45=E$3,"C",IF('Master Plan'!$J45=E$3,"I",""))))</f>
        <v/>
      </c>
      <c r="F45" s="20" t="str">
        <f>IF('Master Plan'!$G45=F$3,"R",IF('Master Plan'!$H45=F$3,"A",IF('Master Plan'!$I45=F$3,"C",IF('Master Plan'!$J45=F$3,"I",""))))</f>
        <v/>
      </c>
      <c r="G45" s="20" t="str">
        <f>IF('Master Plan'!$G45=G$3,"R",IF('Master Plan'!$H45=G$3,"A",IF('Master Plan'!$I45=G$3,"C",IF('Master Plan'!$J45=G$3,"I",""))))</f>
        <v/>
      </c>
      <c r="H45" s="20" t="str">
        <f>IF('Master Plan'!$G45=H$3,"R",IF('Master Plan'!$H45=H$3,"A",IF('Master Plan'!$I45=H$3,"C",IF('Master Plan'!$J45=H$3,"I",""))))</f>
        <v>R</v>
      </c>
      <c r="I45" s="20" t="str">
        <f>IF('Master Plan'!$G45=I$3,"R",IF('Master Plan'!$H45=I$3,"A",IF('Master Plan'!$I45=I$3,"C",IF('Master Plan'!$J45=I$3,"I",""))))</f>
        <v/>
      </c>
      <c r="J45" s="20" t="str">
        <f>IF('Master Plan'!$G45=J$3,"R",IF('Master Plan'!$H45=J$3,"A",IF('Master Plan'!$I45=J$3,"C",IF('Master Plan'!$J45=J$3,"I",""))))</f>
        <v/>
      </c>
      <c r="K45" s="20" t="str">
        <f>IF('Master Plan'!$G45=K$3,"R",IF('Master Plan'!$H45=K$3,"A",IF('Master Plan'!$I45=K$3,"C",IF('Master Plan'!$J45=K$3,"I",""))))</f>
        <v/>
      </c>
      <c r="L45" s="20" t="str">
        <f>IF('Master Plan'!$G45=L$3,"R",IF('Master Plan'!$H45=L$3,"A",IF('Master Plan'!$I45=L$3,"C",IF('Master Plan'!$J45=L$3,"I",""))))</f>
        <v/>
      </c>
      <c r="M45" s="20" t="str">
        <f>IF('Master Plan'!$G45=M$3,"R",IF('Master Plan'!$H45=M$3,"A",IF('Master Plan'!$I45=M$3,"C",IF('Master Plan'!$J45=M$3,"I",""))))</f>
        <v/>
      </c>
      <c r="N45" s="20" t="str">
        <f>IF('Master Plan'!$G45=N$3,"R",IF('Master Plan'!$H45=N$3,"A",IF('Master Plan'!$I45=N$3,"C",IF('Master Plan'!$J45=N$3,"I",""))))</f>
        <v/>
      </c>
      <c r="O45" s="20" t="str">
        <f>IF('Master Plan'!$G45=O$3,"R",IF('Master Plan'!$H45=O$3,"A",IF('Master Plan'!$I45=O$3,"C",IF('Master Plan'!$J45=O$3,"I",""))))</f>
        <v>I</v>
      </c>
      <c r="P45" s="20" t="str">
        <f>IF('Master Plan'!$G45=P$3,"R",IF('Master Plan'!$H45=P$3,"A",IF('Master Plan'!$I45=P$3,"C",IF('Master Plan'!$J45=P$3,"I",""))))</f>
        <v/>
      </c>
      <c r="Q45" s="20" t="str">
        <f>IF('Master Plan'!$G45=Q$3,"R",IF('Master Plan'!$H45=Q$3,"A",IF('Master Plan'!$I45=Q$3,"C",IF('Master Plan'!$J45=Q$3,"I",""))))</f>
        <v/>
      </c>
      <c r="R45" s="20" t="str">
        <f>IF('Master Plan'!$G45=R$3,"R",IF('Master Plan'!$H45=R$3,"A",IF('Master Plan'!$I45=R$3,"C",IF('Master Plan'!$J45=R$3,"I",""))))</f>
        <v/>
      </c>
      <c r="S45" s="20" t="str">
        <f>IF('Master Plan'!$G45=S$3,"R",IF('Master Plan'!$H45=S$3,"A",IF('Master Plan'!$I45=S$3,"C",IF('Master Plan'!$J45=S$3,"I",""))))</f>
        <v>C</v>
      </c>
      <c r="T45" s="20" t="str">
        <f>IF('Master Plan'!$G45=T$3,"R",IF('Master Plan'!$H45=T$3,"A",IF('Master Plan'!$I45=T$3,"C",IF('Master Plan'!$J45=T$3,"I",""))))</f>
        <v/>
      </c>
      <c r="U45" s="20" t="str">
        <f>IF('Master Plan'!$G45=U$3,"R",IF('Master Plan'!$H45=U$3,"A",IF('Master Plan'!$I45=U$3,"C",IF('Master Plan'!$J45=U$3,"I",""))))</f>
        <v/>
      </c>
      <c r="V45" s="20" t="str">
        <f>IF('Master Plan'!$G45=V$3,"R",IF('Master Plan'!$H45=V$3,"A",IF('Master Plan'!$I45=V$3,"C",IF('Master Plan'!$J45=V$3,"I",""))))</f>
        <v/>
      </c>
      <c r="W45" s="20" t="str">
        <f>IF('Master Plan'!$G45=W$3,"R",IF('Master Plan'!$H45=W$3,"A",IF('Master Plan'!$I45=W$3,"C",IF('Master Plan'!$J45=W$3,"I",""))))</f>
        <v/>
      </c>
      <c r="X45" s="20" t="str">
        <f>IF('Master Plan'!$G45=X$3,"R",IF('Master Plan'!$H45=X$3,"A",IF('Master Plan'!$I45=X$3,"C",IF('Master Plan'!$J45=X$3,"I",""))))</f>
        <v/>
      </c>
      <c r="Y45" s="20">
        <f t="shared" si="4"/>
        <v>1</v>
      </c>
      <c r="Z45" s="20">
        <f t="shared" si="5"/>
        <v>0</v>
      </c>
      <c r="AA45" s="20">
        <f t="shared" si="6"/>
        <v>1</v>
      </c>
      <c r="AB45" s="20">
        <f t="shared" si="7"/>
        <v>1</v>
      </c>
    </row>
    <row r="46" spans="1:28" ht="15" customHeight="1" x14ac:dyDescent="0.2">
      <c r="A46" s="35" t="str">
        <f>'Master Plan'!A46</f>
        <v>T-042</v>
      </c>
      <c r="B46" s="35" t="str">
        <f>'Master Plan'!B46</f>
        <v>4. Site Readiness</v>
      </c>
      <c r="C46" s="35" t="str">
        <f>'Master Plan'!E46</f>
        <v>MHE Installation</v>
      </c>
      <c r="D46" s="35" t="str">
        <f>'Master Plan'!N46</f>
        <v>Not Started</v>
      </c>
      <c r="E46" s="20" t="str">
        <f>IF('Master Plan'!$G46=E$3,"R",IF('Master Plan'!$H46=E$3,"A",IF('Master Plan'!$I46=E$3,"C",IF('Master Plan'!$J46=E$3,"I",""))))</f>
        <v/>
      </c>
      <c r="F46" s="20" t="str">
        <f>IF('Master Plan'!$G46=F$3,"R",IF('Master Plan'!$H46=F$3,"A",IF('Master Plan'!$I46=F$3,"C",IF('Master Plan'!$J46=F$3,"I",""))))</f>
        <v/>
      </c>
      <c r="G46" s="20" t="str">
        <f>IF('Master Plan'!$G46=G$3,"R",IF('Master Plan'!$H46=G$3,"A",IF('Master Plan'!$I46=G$3,"C",IF('Master Plan'!$J46=G$3,"I",""))))</f>
        <v/>
      </c>
      <c r="H46" s="20" t="str">
        <f>IF('Master Plan'!$G46=H$3,"R",IF('Master Plan'!$H46=H$3,"A",IF('Master Plan'!$I46=H$3,"C",IF('Master Plan'!$J46=H$3,"I",""))))</f>
        <v>C</v>
      </c>
      <c r="I46" s="20" t="str">
        <f>IF('Master Plan'!$G46=I$3,"R",IF('Master Plan'!$H46=I$3,"A",IF('Master Plan'!$I46=I$3,"C",IF('Master Plan'!$J46=I$3,"I",""))))</f>
        <v/>
      </c>
      <c r="J46" s="20" t="str">
        <f>IF('Master Plan'!$G46=J$3,"R",IF('Master Plan'!$H46=J$3,"A",IF('Master Plan'!$I46=J$3,"C",IF('Master Plan'!$J46=J$3,"I",""))))</f>
        <v/>
      </c>
      <c r="K46" s="20" t="str">
        <f>IF('Master Plan'!$G46=K$3,"R",IF('Master Plan'!$H46=K$3,"A",IF('Master Plan'!$I46=K$3,"C",IF('Master Plan'!$J46=K$3,"I",""))))</f>
        <v>A</v>
      </c>
      <c r="L46" s="20" t="str">
        <f>IF('Master Plan'!$G46=L$3,"R",IF('Master Plan'!$H46=L$3,"A",IF('Master Plan'!$I46=L$3,"C",IF('Master Plan'!$J46=L$3,"I",""))))</f>
        <v/>
      </c>
      <c r="M46" s="20" t="str">
        <f>IF('Master Plan'!$G46=M$3,"R",IF('Master Plan'!$H46=M$3,"A",IF('Master Plan'!$I46=M$3,"C",IF('Master Plan'!$J46=M$3,"I",""))))</f>
        <v/>
      </c>
      <c r="N46" s="20" t="str">
        <f>IF('Master Plan'!$G46=N$3,"R",IF('Master Plan'!$H46=N$3,"A",IF('Master Plan'!$I46=N$3,"C",IF('Master Plan'!$J46=N$3,"I",""))))</f>
        <v/>
      </c>
      <c r="O46" s="20" t="str">
        <f>IF('Master Plan'!$G46=O$3,"R",IF('Master Plan'!$H46=O$3,"A",IF('Master Plan'!$I46=O$3,"C",IF('Master Plan'!$J46=O$3,"I",""))))</f>
        <v/>
      </c>
      <c r="P46" s="20" t="str">
        <f>IF('Master Plan'!$G46=P$3,"R",IF('Master Plan'!$H46=P$3,"A",IF('Master Plan'!$I46=P$3,"C",IF('Master Plan'!$J46=P$3,"I",""))))</f>
        <v/>
      </c>
      <c r="Q46" s="20" t="str">
        <f>IF('Master Plan'!$G46=Q$3,"R",IF('Master Plan'!$H46=Q$3,"A",IF('Master Plan'!$I46=Q$3,"C",IF('Master Plan'!$J46=Q$3,"I",""))))</f>
        <v/>
      </c>
      <c r="R46" s="20" t="str">
        <f>IF('Master Plan'!$G46=R$3,"R",IF('Master Plan'!$H46=R$3,"A",IF('Master Plan'!$I46=R$3,"C",IF('Master Plan'!$J46=R$3,"I",""))))</f>
        <v>R</v>
      </c>
      <c r="S46" s="20" t="str">
        <f>IF('Master Plan'!$G46=S$3,"R",IF('Master Plan'!$H46=S$3,"A",IF('Master Plan'!$I46=S$3,"C",IF('Master Plan'!$J46=S$3,"I",""))))</f>
        <v>I</v>
      </c>
      <c r="T46" s="20" t="str">
        <f>IF('Master Plan'!$G46=T$3,"R",IF('Master Plan'!$H46=T$3,"A",IF('Master Plan'!$I46=T$3,"C",IF('Master Plan'!$J46=T$3,"I",""))))</f>
        <v/>
      </c>
      <c r="U46" s="20" t="str">
        <f>IF('Master Plan'!$G46=U$3,"R",IF('Master Plan'!$H46=U$3,"A",IF('Master Plan'!$I46=U$3,"C",IF('Master Plan'!$J46=U$3,"I",""))))</f>
        <v/>
      </c>
      <c r="V46" s="20" t="str">
        <f>IF('Master Plan'!$G46=V$3,"R",IF('Master Plan'!$H46=V$3,"A",IF('Master Plan'!$I46=V$3,"C",IF('Master Plan'!$J46=V$3,"I",""))))</f>
        <v/>
      </c>
      <c r="W46" s="20" t="str">
        <f>IF('Master Plan'!$G46=W$3,"R",IF('Master Plan'!$H46=W$3,"A",IF('Master Plan'!$I46=W$3,"C",IF('Master Plan'!$J46=W$3,"I",""))))</f>
        <v/>
      </c>
      <c r="X46" s="20" t="str">
        <f>IF('Master Plan'!$G46=X$3,"R",IF('Master Plan'!$H46=X$3,"A",IF('Master Plan'!$I46=X$3,"C",IF('Master Plan'!$J46=X$3,"I",""))))</f>
        <v/>
      </c>
      <c r="Y46" s="20">
        <f t="shared" si="4"/>
        <v>1</v>
      </c>
      <c r="Z46" s="20">
        <f t="shared" si="5"/>
        <v>1</v>
      </c>
      <c r="AA46" s="20">
        <f t="shared" si="6"/>
        <v>1</v>
      </c>
      <c r="AB46" s="20">
        <f t="shared" si="7"/>
        <v>1</v>
      </c>
    </row>
    <row r="47" spans="1:28" ht="15" customHeight="1" x14ac:dyDescent="0.2">
      <c r="A47" s="35" t="str">
        <f>'Master Plan'!A47</f>
        <v>T-043</v>
      </c>
      <c r="B47" s="35" t="str">
        <f>'Master Plan'!B47</f>
        <v>4. Site Readiness</v>
      </c>
      <c r="C47" s="35" t="str">
        <f>'Master Plan'!E47</f>
        <v>MHE Commissioning</v>
      </c>
      <c r="D47" s="35" t="str">
        <f>'Master Plan'!N47</f>
        <v>Not Started</v>
      </c>
      <c r="E47" s="20" t="str">
        <f>IF('Master Plan'!$G47=E$3,"R",IF('Master Plan'!$H47=E$3,"A",IF('Master Plan'!$I47=E$3,"C",IF('Master Plan'!$J47=E$3,"I",""))))</f>
        <v/>
      </c>
      <c r="F47" s="20" t="str">
        <f>IF('Master Plan'!$G47=F$3,"R",IF('Master Plan'!$H47=F$3,"A",IF('Master Plan'!$I47=F$3,"C",IF('Master Plan'!$J47=F$3,"I",""))))</f>
        <v/>
      </c>
      <c r="G47" s="20" t="str">
        <f>IF('Master Plan'!$G47=G$3,"R",IF('Master Plan'!$H47=G$3,"A",IF('Master Plan'!$I47=G$3,"C",IF('Master Plan'!$J47=G$3,"I",""))))</f>
        <v/>
      </c>
      <c r="H47" s="20" t="str">
        <f>IF('Master Plan'!$G47=H$3,"R",IF('Master Plan'!$H47=H$3,"A",IF('Master Plan'!$I47=H$3,"C",IF('Master Plan'!$J47=H$3,"I",""))))</f>
        <v/>
      </c>
      <c r="I47" s="20" t="str">
        <f>IF('Master Plan'!$G47=I$3,"R",IF('Master Plan'!$H47=I$3,"A",IF('Master Plan'!$I47=I$3,"C",IF('Master Plan'!$J47=I$3,"I",""))))</f>
        <v/>
      </c>
      <c r="J47" s="20" t="str">
        <f>IF('Master Plan'!$G47=J$3,"R",IF('Master Plan'!$H47=J$3,"A",IF('Master Plan'!$I47=J$3,"C",IF('Master Plan'!$J47=J$3,"I",""))))</f>
        <v>C</v>
      </c>
      <c r="K47" s="20" t="str">
        <f>IF('Master Plan'!$G47=K$3,"R",IF('Master Plan'!$H47=K$3,"A",IF('Master Plan'!$I47=K$3,"C",IF('Master Plan'!$J47=K$3,"I",""))))</f>
        <v>A</v>
      </c>
      <c r="L47" s="20" t="str">
        <f>IF('Master Plan'!$G47=L$3,"R",IF('Master Plan'!$H47=L$3,"A",IF('Master Plan'!$I47=L$3,"C",IF('Master Plan'!$J47=L$3,"I",""))))</f>
        <v/>
      </c>
      <c r="M47" s="20" t="str">
        <f>IF('Master Plan'!$G47=M$3,"R",IF('Master Plan'!$H47=M$3,"A",IF('Master Plan'!$I47=M$3,"C",IF('Master Plan'!$J47=M$3,"I",""))))</f>
        <v/>
      </c>
      <c r="N47" s="20" t="str">
        <f>IF('Master Plan'!$G47=N$3,"R",IF('Master Plan'!$H47=N$3,"A",IF('Master Plan'!$I47=N$3,"C",IF('Master Plan'!$J47=N$3,"I",""))))</f>
        <v>I</v>
      </c>
      <c r="O47" s="20" t="str">
        <f>IF('Master Plan'!$G47=O$3,"R",IF('Master Plan'!$H47=O$3,"A",IF('Master Plan'!$I47=O$3,"C",IF('Master Plan'!$J47=O$3,"I",""))))</f>
        <v/>
      </c>
      <c r="P47" s="20" t="str">
        <f>IF('Master Plan'!$G47=P$3,"R",IF('Master Plan'!$H47=P$3,"A",IF('Master Plan'!$I47=P$3,"C",IF('Master Plan'!$J47=P$3,"I",""))))</f>
        <v/>
      </c>
      <c r="Q47" s="20" t="str">
        <f>IF('Master Plan'!$G47=Q$3,"R",IF('Master Plan'!$H47=Q$3,"A",IF('Master Plan'!$I47=Q$3,"C",IF('Master Plan'!$J47=Q$3,"I",""))))</f>
        <v/>
      </c>
      <c r="R47" s="20" t="str">
        <f>IF('Master Plan'!$G47=R$3,"R",IF('Master Plan'!$H47=R$3,"A",IF('Master Plan'!$I47=R$3,"C",IF('Master Plan'!$J47=R$3,"I",""))))</f>
        <v>R</v>
      </c>
      <c r="S47" s="20" t="str">
        <f>IF('Master Plan'!$G47=S$3,"R",IF('Master Plan'!$H47=S$3,"A",IF('Master Plan'!$I47=S$3,"C",IF('Master Plan'!$J47=S$3,"I",""))))</f>
        <v/>
      </c>
      <c r="T47" s="20" t="str">
        <f>IF('Master Plan'!$G47=T$3,"R",IF('Master Plan'!$H47=T$3,"A",IF('Master Plan'!$I47=T$3,"C",IF('Master Plan'!$J47=T$3,"I",""))))</f>
        <v/>
      </c>
      <c r="U47" s="20" t="str">
        <f>IF('Master Plan'!$G47=U$3,"R",IF('Master Plan'!$H47=U$3,"A",IF('Master Plan'!$I47=U$3,"C",IF('Master Plan'!$J47=U$3,"I",""))))</f>
        <v/>
      </c>
      <c r="V47" s="20" t="str">
        <f>IF('Master Plan'!$G47=V$3,"R",IF('Master Plan'!$H47=V$3,"A",IF('Master Plan'!$I47=V$3,"C",IF('Master Plan'!$J47=V$3,"I",""))))</f>
        <v/>
      </c>
      <c r="W47" s="20" t="str">
        <f>IF('Master Plan'!$G47=W$3,"R",IF('Master Plan'!$H47=W$3,"A",IF('Master Plan'!$I47=W$3,"C",IF('Master Plan'!$J47=W$3,"I",""))))</f>
        <v/>
      </c>
      <c r="X47" s="20" t="str">
        <f>IF('Master Plan'!$G47=X$3,"R",IF('Master Plan'!$H47=X$3,"A",IF('Master Plan'!$I47=X$3,"C",IF('Master Plan'!$J47=X$3,"I",""))))</f>
        <v/>
      </c>
      <c r="Y47" s="20">
        <f t="shared" si="4"/>
        <v>1</v>
      </c>
      <c r="Z47" s="20">
        <f t="shared" si="5"/>
        <v>1</v>
      </c>
      <c r="AA47" s="20">
        <f t="shared" si="6"/>
        <v>1</v>
      </c>
      <c r="AB47" s="20">
        <f t="shared" si="7"/>
        <v>1</v>
      </c>
    </row>
    <row r="48" spans="1:28" ht="15" customHeight="1" x14ac:dyDescent="0.2">
      <c r="A48" s="35" t="str">
        <f>'Master Plan'!A48</f>
        <v>T-044</v>
      </c>
      <c r="B48" s="35" t="str">
        <f>'Master Plan'!B48</f>
        <v>4. Site Readiness</v>
      </c>
      <c r="C48" s="35" t="str">
        <f>'Master Plan'!E48</f>
        <v>Safety Inspections</v>
      </c>
      <c r="D48" s="35" t="str">
        <f>'Master Plan'!N48</f>
        <v>Not Started</v>
      </c>
      <c r="E48" s="20" t="str">
        <f>IF('Master Plan'!$G48=E$3,"R",IF('Master Plan'!$H48=E$3,"A",IF('Master Plan'!$I48=E$3,"C",IF('Master Plan'!$J48=E$3,"I",""))))</f>
        <v/>
      </c>
      <c r="F48" s="20" t="str">
        <f>IF('Master Plan'!$G48=F$3,"R",IF('Master Plan'!$H48=F$3,"A",IF('Master Plan'!$I48=F$3,"C",IF('Master Plan'!$J48=F$3,"I",""))))</f>
        <v>I</v>
      </c>
      <c r="G48" s="20" t="str">
        <f>IF('Master Plan'!$G48=G$3,"R",IF('Master Plan'!$H48=G$3,"A",IF('Master Plan'!$I48=G$3,"C",IF('Master Plan'!$J48=G$3,"I",""))))</f>
        <v/>
      </c>
      <c r="H48" s="20" t="str">
        <f>IF('Master Plan'!$G48=H$3,"R",IF('Master Plan'!$H48=H$3,"A",IF('Master Plan'!$I48=H$3,"C",IF('Master Plan'!$J48=H$3,"I",""))))</f>
        <v>C</v>
      </c>
      <c r="I48" s="20" t="str">
        <f>IF('Master Plan'!$G48=I$3,"R",IF('Master Plan'!$H48=I$3,"A",IF('Master Plan'!$I48=I$3,"C",IF('Master Plan'!$J48=I$3,"I",""))))</f>
        <v/>
      </c>
      <c r="J48" s="20" t="str">
        <f>IF('Master Plan'!$G48=J$3,"R",IF('Master Plan'!$H48=J$3,"A",IF('Master Plan'!$I48=J$3,"C",IF('Master Plan'!$J48=J$3,"I",""))))</f>
        <v/>
      </c>
      <c r="K48" s="20" t="str">
        <f>IF('Master Plan'!$G48=K$3,"R",IF('Master Plan'!$H48=K$3,"A",IF('Master Plan'!$I48=K$3,"C",IF('Master Plan'!$J48=K$3,"I",""))))</f>
        <v/>
      </c>
      <c r="L48" s="20" t="str">
        <f>IF('Master Plan'!$G48=L$3,"R",IF('Master Plan'!$H48=L$3,"A",IF('Master Plan'!$I48=L$3,"C",IF('Master Plan'!$J48=L$3,"I",""))))</f>
        <v/>
      </c>
      <c r="M48" s="20" t="str">
        <f>IF('Master Plan'!$G48=M$3,"R",IF('Master Plan'!$H48=M$3,"A",IF('Master Plan'!$I48=M$3,"C",IF('Master Plan'!$J48=M$3,"I",""))))</f>
        <v/>
      </c>
      <c r="N48" s="20" t="str">
        <f>IF('Master Plan'!$G48=N$3,"R",IF('Master Plan'!$H48=N$3,"A",IF('Master Plan'!$I48=N$3,"C",IF('Master Plan'!$J48=N$3,"I",""))))</f>
        <v/>
      </c>
      <c r="O48" s="20" t="str">
        <f>IF('Master Plan'!$G48=O$3,"R",IF('Master Plan'!$H48=O$3,"A",IF('Master Plan'!$I48=O$3,"C",IF('Master Plan'!$J48=O$3,"I",""))))</f>
        <v/>
      </c>
      <c r="P48" s="20" t="str">
        <f>IF('Master Plan'!$G48=P$3,"R",IF('Master Plan'!$H48=P$3,"A",IF('Master Plan'!$I48=P$3,"C",IF('Master Plan'!$J48=P$3,"I",""))))</f>
        <v/>
      </c>
      <c r="Q48" s="20" t="str">
        <f>IF('Master Plan'!$G48=Q$3,"R",IF('Master Plan'!$H48=Q$3,"A",IF('Master Plan'!$I48=Q$3,"C",IF('Master Plan'!$J48=Q$3,"I",""))))</f>
        <v/>
      </c>
      <c r="R48" s="20" t="str">
        <f>IF('Master Plan'!$G48=R$3,"R",IF('Master Plan'!$H48=R$3,"A",IF('Master Plan'!$I48=R$3,"C",IF('Master Plan'!$J48=R$3,"I",""))))</f>
        <v/>
      </c>
      <c r="S48" s="20" t="str">
        <f>IF('Master Plan'!$G48=S$3,"R",IF('Master Plan'!$H48=S$3,"A",IF('Master Plan'!$I48=S$3,"C",IF('Master Plan'!$J48=S$3,"I",""))))</f>
        <v>R</v>
      </c>
      <c r="T48" s="20" t="str">
        <f>IF('Master Plan'!$G48=T$3,"R",IF('Master Plan'!$H48=T$3,"A",IF('Master Plan'!$I48=T$3,"C",IF('Master Plan'!$J48=T$3,"I",""))))</f>
        <v/>
      </c>
      <c r="U48" s="20" t="str">
        <f>IF('Master Plan'!$G48=U$3,"R",IF('Master Plan'!$H48=U$3,"A",IF('Master Plan'!$I48=U$3,"C",IF('Master Plan'!$J48=U$3,"I",""))))</f>
        <v/>
      </c>
      <c r="V48" s="20" t="str">
        <f>IF('Master Plan'!$G48=V$3,"R",IF('Master Plan'!$H48=V$3,"A",IF('Master Plan'!$I48=V$3,"C",IF('Master Plan'!$J48=V$3,"I",""))))</f>
        <v/>
      </c>
      <c r="W48" s="20" t="str">
        <f>IF('Master Plan'!$G48=W$3,"R",IF('Master Plan'!$H48=W$3,"A",IF('Master Plan'!$I48=W$3,"C",IF('Master Plan'!$J48=W$3,"I",""))))</f>
        <v/>
      </c>
      <c r="X48" s="20" t="str">
        <f>IF('Master Plan'!$G48=X$3,"R",IF('Master Plan'!$H48=X$3,"A",IF('Master Plan'!$I48=X$3,"C",IF('Master Plan'!$J48=X$3,"I",""))))</f>
        <v/>
      </c>
      <c r="Y48" s="20">
        <f t="shared" si="4"/>
        <v>1</v>
      </c>
      <c r="Z48" s="20">
        <f t="shared" si="5"/>
        <v>0</v>
      </c>
      <c r="AA48" s="20">
        <f t="shared" si="6"/>
        <v>1</v>
      </c>
      <c r="AB48" s="20">
        <f t="shared" si="7"/>
        <v>1</v>
      </c>
    </row>
    <row r="49" spans="1:28" ht="15" customHeight="1" x14ac:dyDescent="0.2">
      <c r="A49" s="35" t="str">
        <f>'Master Plan'!A49</f>
        <v>T-045</v>
      </c>
      <c r="B49" s="35" t="str">
        <f>'Master Plan'!B49</f>
        <v>4. Site Readiness</v>
      </c>
      <c r="C49" s="35" t="str">
        <f>'Master Plan'!E49</f>
        <v>Certificate of Occupancy</v>
      </c>
      <c r="D49" s="35" t="str">
        <f>'Master Plan'!N49</f>
        <v>Not Started</v>
      </c>
      <c r="E49" s="20" t="str">
        <f>IF('Master Plan'!$G49=E$3,"R",IF('Master Plan'!$H49=E$3,"A",IF('Master Plan'!$I49=E$3,"C",IF('Master Plan'!$J49=E$3,"I",""))))</f>
        <v>I</v>
      </c>
      <c r="F49" s="20" t="str">
        <f>IF('Master Plan'!$G49=F$3,"R",IF('Master Plan'!$H49=F$3,"A",IF('Master Plan'!$I49=F$3,"C",IF('Master Plan'!$J49=F$3,"I",""))))</f>
        <v>C</v>
      </c>
      <c r="G49" s="20" t="str">
        <f>IF('Master Plan'!$G49=G$3,"R",IF('Master Plan'!$H49=G$3,"A",IF('Master Plan'!$I49=G$3,"C",IF('Master Plan'!$J49=G$3,"I",""))))</f>
        <v/>
      </c>
      <c r="H49" s="20" t="str">
        <f>IF('Master Plan'!$G49=H$3,"R",IF('Master Plan'!$H49=H$3,"A",IF('Master Plan'!$I49=H$3,"C",IF('Master Plan'!$J49=H$3,"I",""))))</f>
        <v>R</v>
      </c>
      <c r="I49" s="20" t="str">
        <f>IF('Master Plan'!$G49=I$3,"R",IF('Master Plan'!$H49=I$3,"A",IF('Master Plan'!$I49=I$3,"C",IF('Master Plan'!$J49=I$3,"I",""))))</f>
        <v/>
      </c>
      <c r="J49" s="20" t="str">
        <f>IF('Master Plan'!$G49=J$3,"R",IF('Master Plan'!$H49=J$3,"A",IF('Master Plan'!$I49=J$3,"C",IF('Master Plan'!$J49=J$3,"I",""))))</f>
        <v/>
      </c>
      <c r="K49" s="20" t="str">
        <f>IF('Master Plan'!$G49=K$3,"R",IF('Master Plan'!$H49=K$3,"A",IF('Master Plan'!$I49=K$3,"C",IF('Master Plan'!$J49=K$3,"I",""))))</f>
        <v/>
      </c>
      <c r="L49" s="20" t="str">
        <f>IF('Master Plan'!$G49=L$3,"R",IF('Master Plan'!$H49=L$3,"A",IF('Master Plan'!$I49=L$3,"C",IF('Master Plan'!$J49=L$3,"I",""))))</f>
        <v/>
      </c>
      <c r="M49" s="20" t="str">
        <f>IF('Master Plan'!$G49=M$3,"R",IF('Master Plan'!$H49=M$3,"A",IF('Master Plan'!$I49=M$3,"C",IF('Master Plan'!$J49=M$3,"I",""))))</f>
        <v/>
      </c>
      <c r="N49" s="20" t="str">
        <f>IF('Master Plan'!$G49=N$3,"R",IF('Master Plan'!$H49=N$3,"A",IF('Master Plan'!$I49=N$3,"C",IF('Master Plan'!$J49=N$3,"I",""))))</f>
        <v/>
      </c>
      <c r="O49" s="20" t="str">
        <f>IF('Master Plan'!$G49=O$3,"R",IF('Master Plan'!$H49=O$3,"A",IF('Master Plan'!$I49=O$3,"C",IF('Master Plan'!$J49=O$3,"I",""))))</f>
        <v/>
      </c>
      <c r="P49" s="20" t="str">
        <f>IF('Master Plan'!$G49=P$3,"R",IF('Master Plan'!$H49=P$3,"A",IF('Master Plan'!$I49=P$3,"C",IF('Master Plan'!$J49=P$3,"I",""))))</f>
        <v/>
      </c>
      <c r="Q49" s="20" t="str">
        <f>IF('Master Plan'!$G49=Q$3,"R",IF('Master Plan'!$H49=Q$3,"A",IF('Master Plan'!$I49=Q$3,"C",IF('Master Plan'!$J49=Q$3,"I",""))))</f>
        <v/>
      </c>
      <c r="R49" s="20" t="str">
        <f>IF('Master Plan'!$G49=R$3,"R",IF('Master Plan'!$H49=R$3,"A",IF('Master Plan'!$I49=R$3,"C",IF('Master Plan'!$J49=R$3,"I",""))))</f>
        <v/>
      </c>
      <c r="S49" s="20" t="str">
        <f>IF('Master Plan'!$G49=S$3,"R",IF('Master Plan'!$H49=S$3,"A",IF('Master Plan'!$I49=S$3,"C",IF('Master Plan'!$J49=S$3,"I",""))))</f>
        <v>A</v>
      </c>
      <c r="T49" s="20" t="str">
        <f>IF('Master Plan'!$G49=T$3,"R",IF('Master Plan'!$H49=T$3,"A",IF('Master Plan'!$I49=T$3,"C",IF('Master Plan'!$J49=T$3,"I",""))))</f>
        <v/>
      </c>
      <c r="U49" s="20" t="str">
        <f>IF('Master Plan'!$G49=U$3,"R",IF('Master Plan'!$H49=U$3,"A",IF('Master Plan'!$I49=U$3,"C",IF('Master Plan'!$J49=U$3,"I",""))))</f>
        <v/>
      </c>
      <c r="V49" s="20" t="str">
        <f>IF('Master Plan'!$G49=V$3,"R",IF('Master Plan'!$H49=V$3,"A",IF('Master Plan'!$I49=V$3,"C",IF('Master Plan'!$J49=V$3,"I",""))))</f>
        <v/>
      </c>
      <c r="W49" s="20" t="str">
        <f>IF('Master Plan'!$G49=W$3,"R",IF('Master Plan'!$H49=W$3,"A",IF('Master Plan'!$I49=W$3,"C",IF('Master Plan'!$J49=W$3,"I",""))))</f>
        <v/>
      </c>
      <c r="X49" s="20" t="str">
        <f>IF('Master Plan'!$G49=X$3,"R",IF('Master Plan'!$H49=X$3,"A",IF('Master Plan'!$I49=X$3,"C",IF('Master Plan'!$J49=X$3,"I",""))))</f>
        <v/>
      </c>
      <c r="Y49" s="20">
        <f t="shared" si="4"/>
        <v>1</v>
      </c>
      <c r="Z49" s="20">
        <f t="shared" si="5"/>
        <v>1</v>
      </c>
      <c r="AA49" s="20">
        <f t="shared" si="6"/>
        <v>1</v>
      </c>
      <c r="AB49" s="20">
        <f t="shared" si="7"/>
        <v>1</v>
      </c>
    </row>
    <row r="50" spans="1:28" ht="15" customHeight="1" x14ac:dyDescent="0.2">
      <c r="A50" s="35" t="str">
        <f>'Master Plan'!A50</f>
        <v>T-046</v>
      </c>
      <c r="B50" s="35" t="str">
        <f>'Master Plan'!B50</f>
        <v>4. Site Readiness</v>
      </c>
      <c r="C50" s="35" t="str">
        <f>'Master Plan'!E50</f>
        <v>Supervisor Hiring</v>
      </c>
      <c r="D50" s="35" t="str">
        <f>'Master Plan'!N50</f>
        <v>Not Started</v>
      </c>
      <c r="E50" s="20" t="str">
        <f>IF('Master Plan'!$G50=E$3,"R",IF('Master Plan'!$H50=E$3,"A",IF('Master Plan'!$I50=E$3,"C",IF('Master Plan'!$J50=E$3,"I",""))))</f>
        <v/>
      </c>
      <c r="F50" s="20" t="str">
        <f>IF('Master Plan'!$G50=F$3,"R",IF('Master Plan'!$H50=F$3,"A",IF('Master Plan'!$I50=F$3,"C",IF('Master Plan'!$J50=F$3,"I",""))))</f>
        <v>I</v>
      </c>
      <c r="G50" s="20" t="str">
        <f>IF('Master Plan'!$G50=G$3,"R",IF('Master Plan'!$H50=G$3,"A",IF('Master Plan'!$I50=G$3,"C",IF('Master Plan'!$J50=G$3,"I",""))))</f>
        <v/>
      </c>
      <c r="H50" s="20" t="str">
        <f>IF('Master Plan'!$G50=H$3,"R",IF('Master Plan'!$H50=H$3,"A",IF('Master Plan'!$I50=H$3,"C",IF('Master Plan'!$J50=H$3,"I",""))))</f>
        <v/>
      </c>
      <c r="I50" s="20" t="str">
        <f>IF('Master Plan'!$G50=I$3,"R",IF('Master Plan'!$H50=I$3,"A",IF('Master Plan'!$I50=I$3,"C",IF('Master Plan'!$J50=I$3,"I",""))))</f>
        <v/>
      </c>
      <c r="J50" s="20" t="str">
        <f>IF('Master Plan'!$G50=J$3,"R",IF('Master Plan'!$H50=J$3,"A",IF('Master Plan'!$I50=J$3,"C",IF('Master Plan'!$J50=J$3,"I",""))))</f>
        <v/>
      </c>
      <c r="K50" s="20" t="str">
        <f>IF('Master Plan'!$G50=K$3,"R",IF('Master Plan'!$H50=K$3,"A",IF('Master Plan'!$I50=K$3,"C",IF('Master Plan'!$J50=K$3,"I",""))))</f>
        <v/>
      </c>
      <c r="L50" s="20" t="str">
        <f>IF('Master Plan'!$G50=L$3,"R",IF('Master Plan'!$H50=L$3,"A",IF('Master Plan'!$I50=L$3,"C",IF('Master Plan'!$J50=L$3,"I",""))))</f>
        <v/>
      </c>
      <c r="M50" s="20" t="str">
        <f>IF('Master Plan'!$G50=M$3,"R",IF('Master Plan'!$H50=M$3,"A",IF('Master Plan'!$I50=M$3,"C",IF('Master Plan'!$J50=M$3,"I",""))))</f>
        <v/>
      </c>
      <c r="N50" s="20" t="str">
        <f>IF('Master Plan'!$G50=N$3,"R",IF('Master Plan'!$H50=N$3,"A",IF('Master Plan'!$I50=N$3,"C",IF('Master Plan'!$J50=N$3,"I",""))))</f>
        <v/>
      </c>
      <c r="O50" s="20" t="str">
        <f>IF('Master Plan'!$G50=O$3,"R",IF('Master Plan'!$H50=O$3,"A",IF('Master Plan'!$I50=O$3,"C",IF('Master Plan'!$J50=O$3,"I",""))))</f>
        <v>R</v>
      </c>
      <c r="P50" s="20" t="str">
        <f>IF('Master Plan'!$G50=P$3,"R",IF('Master Plan'!$H50=P$3,"A",IF('Master Plan'!$I50=P$3,"C",IF('Master Plan'!$J50=P$3,"I",""))))</f>
        <v/>
      </c>
      <c r="Q50" s="20" t="str">
        <f>IF('Master Plan'!$G50=Q$3,"R",IF('Master Plan'!$H50=Q$3,"A",IF('Master Plan'!$I50=Q$3,"C",IF('Master Plan'!$J50=Q$3,"I",""))))</f>
        <v/>
      </c>
      <c r="R50" s="20" t="str">
        <f>IF('Master Plan'!$G50=R$3,"R",IF('Master Plan'!$H50=R$3,"A",IF('Master Plan'!$I50=R$3,"C",IF('Master Plan'!$J50=R$3,"I",""))))</f>
        <v/>
      </c>
      <c r="S50" s="20" t="str">
        <f>IF('Master Plan'!$G50=S$3,"R",IF('Master Plan'!$H50=S$3,"A",IF('Master Plan'!$I50=S$3,"C",IF('Master Plan'!$J50=S$3,"I",""))))</f>
        <v/>
      </c>
      <c r="T50" s="20" t="str">
        <f>IF('Master Plan'!$G50=T$3,"R",IF('Master Plan'!$H50=T$3,"A",IF('Master Plan'!$I50=T$3,"C",IF('Master Plan'!$J50=T$3,"I",""))))</f>
        <v/>
      </c>
      <c r="U50" s="20" t="str">
        <f>IF('Master Plan'!$G50=U$3,"R",IF('Master Plan'!$H50=U$3,"A",IF('Master Plan'!$I50=U$3,"C",IF('Master Plan'!$J50=U$3,"I",""))))</f>
        <v>C</v>
      </c>
      <c r="V50" s="20" t="str">
        <f>IF('Master Plan'!$G50=V$3,"R",IF('Master Plan'!$H50=V$3,"A",IF('Master Plan'!$I50=V$3,"C",IF('Master Plan'!$J50=V$3,"I",""))))</f>
        <v/>
      </c>
      <c r="W50" s="20" t="str">
        <f>IF('Master Plan'!$G50=W$3,"R",IF('Master Plan'!$H50=W$3,"A",IF('Master Plan'!$I50=W$3,"C",IF('Master Plan'!$J50=W$3,"I",""))))</f>
        <v/>
      </c>
      <c r="X50" s="20" t="str">
        <f>IF('Master Plan'!$G50=X$3,"R",IF('Master Plan'!$H50=X$3,"A",IF('Master Plan'!$I50=X$3,"C",IF('Master Plan'!$J50=X$3,"I",""))))</f>
        <v/>
      </c>
      <c r="Y50" s="20">
        <f t="shared" si="4"/>
        <v>1</v>
      </c>
      <c r="Z50" s="20">
        <f t="shared" si="5"/>
        <v>0</v>
      </c>
      <c r="AA50" s="20">
        <f t="shared" si="6"/>
        <v>1</v>
      </c>
      <c r="AB50" s="20">
        <f t="shared" si="7"/>
        <v>1</v>
      </c>
    </row>
    <row r="51" spans="1:28" ht="15" customHeight="1" x14ac:dyDescent="0.2">
      <c r="A51" s="35" t="str">
        <f>'Master Plan'!A51</f>
        <v>T-047</v>
      </c>
      <c r="B51" s="35" t="str">
        <f>'Master Plan'!B51</f>
        <v>4. Site Readiness</v>
      </c>
      <c r="C51" s="35" t="str">
        <f>'Master Plan'!E51</f>
        <v>Site IT Go-Live</v>
      </c>
      <c r="D51" s="35" t="str">
        <f>'Master Plan'!N51</f>
        <v>Not Started</v>
      </c>
      <c r="E51" s="20" t="str">
        <f>IF('Master Plan'!$G51=E$3,"R",IF('Master Plan'!$H51=E$3,"A",IF('Master Plan'!$I51=E$3,"C",IF('Master Plan'!$J51=E$3,"I",""))))</f>
        <v/>
      </c>
      <c r="F51" s="20" t="str">
        <f>IF('Master Plan'!$G51=F$3,"R",IF('Master Plan'!$H51=F$3,"A",IF('Master Plan'!$I51=F$3,"C",IF('Master Plan'!$J51=F$3,"I",""))))</f>
        <v/>
      </c>
      <c r="G51" s="20" t="str">
        <f>IF('Master Plan'!$G51=G$3,"R",IF('Master Plan'!$H51=G$3,"A",IF('Master Plan'!$I51=G$3,"C",IF('Master Plan'!$J51=G$3,"I",""))))</f>
        <v/>
      </c>
      <c r="H51" s="20" t="str">
        <f>IF('Master Plan'!$G51=H$3,"R",IF('Master Plan'!$H51=H$3,"A",IF('Master Plan'!$I51=H$3,"C",IF('Master Plan'!$J51=H$3,"I",""))))</f>
        <v/>
      </c>
      <c r="I51" s="20" t="str">
        <f>IF('Master Plan'!$G51=I$3,"R",IF('Master Plan'!$H51=I$3,"A",IF('Master Plan'!$I51=I$3,"C",IF('Master Plan'!$J51=I$3,"I",""))))</f>
        <v/>
      </c>
      <c r="J51" s="20" t="str">
        <f>IF('Master Plan'!$G51=J$3,"R",IF('Master Plan'!$H51=J$3,"A",IF('Master Plan'!$I51=J$3,"C",IF('Master Plan'!$J51=J$3,"I",""))))</f>
        <v>C</v>
      </c>
      <c r="K51" s="20" t="str">
        <f>IF('Master Plan'!$G51=K$3,"R",IF('Master Plan'!$H51=K$3,"A",IF('Master Plan'!$I51=K$3,"C",IF('Master Plan'!$J51=K$3,"I",""))))</f>
        <v/>
      </c>
      <c r="L51" s="20" t="str">
        <f>IF('Master Plan'!$G51=L$3,"R",IF('Master Plan'!$H51=L$3,"A",IF('Master Plan'!$I51=L$3,"C",IF('Master Plan'!$J51=L$3,"I",""))))</f>
        <v/>
      </c>
      <c r="M51" s="20" t="str">
        <f>IF('Master Plan'!$G51=M$3,"R",IF('Master Plan'!$H51=M$3,"A",IF('Master Plan'!$I51=M$3,"C",IF('Master Plan'!$J51=M$3,"I",""))))</f>
        <v/>
      </c>
      <c r="N51" s="20" t="str">
        <f>IF('Master Plan'!$G51=N$3,"R",IF('Master Plan'!$H51=N$3,"A",IF('Master Plan'!$I51=N$3,"C",IF('Master Plan'!$J51=N$3,"I",""))))</f>
        <v/>
      </c>
      <c r="O51" s="20" t="str">
        <f>IF('Master Plan'!$G51=O$3,"R",IF('Master Plan'!$H51=O$3,"A",IF('Master Plan'!$I51=O$3,"C",IF('Master Plan'!$J51=O$3,"I",""))))</f>
        <v>I</v>
      </c>
      <c r="P51" s="20" t="str">
        <f>IF('Master Plan'!$G51=P$3,"R",IF('Master Plan'!$H51=P$3,"A",IF('Master Plan'!$I51=P$3,"C",IF('Master Plan'!$J51=P$3,"I",""))))</f>
        <v/>
      </c>
      <c r="Q51" s="20" t="str">
        <f>IF('Master Plan'!$G51=Q$3,"R",IF('Master Plan'!$H51=Q$3,"A",IF('Master Plan'!$I51=Q$3,"C",IF('Master Plan'!$J51=Q$3,"I",""))))</f>
        <v/>
      </c>
      <c r="R51" s="20" t="str">
        <f>IF('Master Plan'!$G51=R$3,"R",IF('Master Plan'!$H51=R$3,"A",IF('Master Plan'!$I51=R$3,"C",IF('Master Plan'!$J51=R$3,"I",""))))</f>
        <v/>
      </c>
      <c r="S51" s="20" t="str">
        <f>IF('Master Plan'!$G51=S$3,"R",IF('Master Plan'!$H51=S$3,"A",IF('Master Plan'!$I51=S$3,"C",IF('Master Plan'!$J51=S$3,"I",""))))</f>
        <v/>
      </c>
      <c r="T51" s="20" t="str">
        <f>IF('Master Plan'!$G51=T$3,"R",IF('Master Plan'!$H51=T$3,"A",IF('Master Plan'!$I51=T$3,"C",IF('Master Plan'!$J51=T$3,"I",""))))</f>
        <v/>
      </c>
      <c r="U51" s="20" t="str">
        <f>IF('Master Plan'!$G51=U$3,"R",IF('Master Plan'!$H51=U$3,"A",IF('Master Plan'!$I51=U$3,"C",IF('Master Plan'!$J51=U$3,"I",""))))</f>
        <v/>
      </c>
      <c r="V51" s="20" t="str">
        <f>IF('Master Plan'!$G51=V$3,"R",IF('Master Plan'!$H51=V$3,"A",IF('Master Plan'!$I51=V$3,"C",IF('Master Plan'!$J51=V$3,"I",""))))</f>
        <v>R</v>
      </c>
      <c r="W51" s="20" t="str">
        <f>IF('Master Plan'!$G51=W$3,"R",IF('Master Plan'!$H51=W$3,"A",IF('Master Plan'!$I51=W$3,"C",IF('Master Plan'!$J51=W$3,"I",""))))</f>
        <v/>
      </c>
      <c r="X51" s="20" t="str">
        <f>IF('Master Plan'!$G51=X$3,"R",IF('Master Plan'!$H51=X$3,"A",IF('Master Plan'!$I51=X$3,"C",IF('Master Plan'!$J51=X$3,"I",""))))</f>
        <v/>
      </c>
      <c r="Y51" s="20">
        <f t="shared" si="4"/>
        <v>1</v>
      </c>
      <c r="Z51" s="20">
        <f t="shared" si="5"/>
        <v>0</v>
      </c>
      <c r="AA51" s="20">
        <f t="shared" si="6"/>
        <v>1</v>
      </c>
      <c r="AB51" s="20">
        <f t="shared" si="7"/>
        <v>1</v>
      </c>
    </row>
    <row r="52" spans="1:28" ht="15" customHeight="1" x14ac:dyDescent="0.2">
      <c r="A52" s="35" t="str">
        <f>'Master Plan'!A52</f>
        <v>T-048</v>
      </c>
      <c r="B52" s="35" t="str">
        <f>'Master Plan'!B52</f>
        <v>4. Site Readiness</v>
      </c>
      <c r="C52" s="35" t="str">
        <f>'Master Plan'!E52</f>
        <v>Yard &amp; Dock Setup</v>
      </c>
      <c r="D52" s="35" t="str">
        <f>'Master Plan'!N52</f>
        <v>Not Started</v>
      </c>
      <c r="E52" s="20" t="str">
        <f>IF('Master Plan'!$G52=E$3,"R",IF('Master Plan'!$H52=E$3,"A",IF('Master Plan'!$I52=E$3,"C",IF('Master Plan'!$J52=E$3,"I",""))))</f>
        <v/>
      </c>
      <c r="F52" s="20" t="str">
        <f>IF('Master Plan'!$G52=F$3,"R",IF('Master Plan'!$H52=F$3,"A",IF('Master Plan'!$I52=F$3,"C",IF('Master Plan'!$J52=F$3,"I",""))))</f>
        <v/>
      </c>
      <c r="G52" s="20" t="str">
        <f>IF('Master Plan'!$G52=G$3,"R",IF('Master Plan'!$H52=G$3,"A",IF('Master Plan'!$I52=G$3,"C",IF('Master Plan'!$J52=G$3,"I",""))))</f>
        <v/>
      </c>
      <c r="H52" s="20" t="str">
        <f>IF('Master Plan'!$G52=H$3,"R",IF('Master Plan'!$H52=H$3,"A",IF('Master Plan'!$I52=H$3,"C",IF('Master Plan'!$J52=H$3,"I",""))))</f>
        <v>I</v>
      </c>
      <c r="I52" s="20" t="str">
        <f>IF('Master Plan'!$G52=I$3,"R",IF('Master Plan'!$H52=I$3,"A",IF('Master Plan'!$I52=I$3,"C",IF('Master Plan'!$J52=I$3,"I",""))))</f>
        <v/>
      </c>
      <c r="J52" s="20" t="str">
        <f>IF('Master Plan'!$G52=J$3,"R",IF('Master Plan'!$H52=J$3,"A",IF('Master Plan'!$I52=J$3,"C",IF('Master Plan'!$J52=J$3,"I",""))))</f>
        <v/>
      </c>
      <c r="K52" s="20" t="str">
        <f>IF('Master Plan'!$G52=K$3,"R",IF('Master Plan'!$H52=K$3,"A",IF('Master Plan'!$I52=K$3,"C",IF('Master Plan'!$J52=K$3,"I",""))))</f>
        <v/>
      </c>
      <c r="L52" s="20" t="str">
        <f>IF('Master Plan'!$G52=L$3,"R",IF('Master Plan'!$H52=L$3,"A",IF('Master Plan'!$I52=L$3,"C",IF('Master Plan'!$J52=L$3,"I",""))))</f>
        <v/>
      </c>
      <c r="M52" s="20" t="str">
        <f>IF('Master Plan'!$G52=M$3,"R",IF('Master Plan'!$H52=M$3,"A",IF('Master Plan'!$I52=M$3,"C",IF('Master Plan'!$J52=M$3,"I",""))))</f>
        <v/>
      </c>
      <c r="N52" s="20" t="str">
        <f>IF('Master Plan'!$G52=N$3,"R",IF('Master Plan'!$H52=N$3,"A",IF('Master Plan'!$I52=N$3,"C",IF('Master Plan'!$J52=N$3,"I",""))))</f>
        <v/>
      </c>
      <c r="O52" s="20" t="str">
        <f>IF('Master Plan'!$G52=O$3,"R",IF('Master Plan'!$H52=O$3,"A",IF('Master Plan'!$I52=O$3,"C",IF('Master Plan'!$J52=O$3,"I",""))))</f>
        <v>C</v>
      </c>
      <c r="P52" s="20" t="str">
        <f>IF('Master Plan'!$G52=P$3,"R",IF('Master Plan'!$H52=P$3,"A",IF('Master Plan'!$I52=P$3,"C",IF('Master Plan'!$J52=P$3,"I",""))))</f>
        <v>R</v>
      </c>
      <c r="Q52" s="20" t="str">
        <f>IF('Master Plan'!$G52=Q$3,"R",IF('Master Plan'!$H52=Q$3,"A",IF('Master Plan'!$I52=Q$3,"C",IF('Master Plan'!$J52=Q$3,"I",""))))</f>
        <v/>
      </c>
      <c r="R52" s="20" t="str">
        <f>IF('Master Plan'!$G52=R$3,"R",IF('Master Plan'!$H52=R$3,"A",IF('Master Plan'!$I52=R$3,"C",IF('Master Plan'!$J52=R$3,"I",""))))</f>
        <v/>
      </c>
      <c r="S52" s="20" t="str">
        <f>IF('Master Plan'!$G52=S$3,"R",IF('Master Plan'!$H52=S$3,"A",IF('Master Plan'!$I52=S$3,"C",IF('Master Plan'!$J52=S$3,"I",""))))</f>
        <v/>
      </c>
      <c r="T52" s="20" t="str">
        <f>IF('Master Plan'!$G52=T$3,"R",IF('Master Plan'!$H52=T$3,"A",IF('Master Plan'!$I52=T$3,"C",IF('Master Plan'!$J52=T$3,"I",""))))</f>
        <v/>
      </c>
      <c r="U52" s="20" t="str">
        <f>IF('Master Plan'!$G52=U$3,"R",IF('Master Plan'!$H52=U$3,"A",IF('Master Plan'!$I52=U$3,"C",IF('Master Plan'!$J52=U$3,"I",""))))</f>
        <v/>
      </c>
      <c r="V52" s="20" t="str">
        <f>IF('Master Plan'!$G52=V$3,"R",IF('Master Plan'!$H52=V$3,"A",IF('Master Plan'!$I52=V$3,"C",IF('Master Plan'!$J52=V$3,"I",""))))</f>
        <v/>
      </c>
      <c r="W52" s="20" t="str">
        <f>IF('Master Plan'!$G52=W$3,"R",IF('Master Plan'!$H52=W$3,"A",IF('Master Plan'!$I52=W$3,"C",IF('Master Plan'!$J52=W$3,"I",""))))</f>
        <v/>
      </c>
      <c r="X52" s="20" t="str">
        <f>IF('Master Plan'!$G52=X$3,"R",IF('Master Plan'!$H52=X$3,"A",IF('Master Plan'!$I52=X$3,"C",IF('Master Plan'!$J52=X$3,"I",""))))</f>
        <v/>
      </c>
      <c r="Y52" s="20">
        <f t="shared" si="4"/>
        <v>1</v>
      </c>
      <c r="Z52" s="20">
        <f t="shared" si="5"/>
        <v>0</v>
      </c>
      <c r="AA52" s="20">
        <f t="shared" si="6"/>
        <v>1</v>
      </c>
      <c r="AB52" s="20">
        <f t="shared" si="7"/>
        <v>1</v>
      </c>
    </row>
    <row r="53" spans="1:28" ht="15" customHeight="1" x14ac:dyDescent="0.2">
      <c r="A53" s="35" t="str">
        <f>'Master Plan'!A53</f>
        <v>T-049</v>
      </c>
      <c r="B53" s="35" t="str">
        <f>'Master Plan'!B53</f>
        <v>4. Site Readiness</v>
      </c>
      <c r="C53" s="35" t="str">
        <f>'Master Plan'!E53</f>
        <v>Gate 4 Review</v>
      </c>
      <c r="D53" s="35" t="str">
        <f>'Master Plan'!N53</f>
        <v>Not Started</v>
      </c>
      <c r="E53" s="20" t="str">
        <f>IF('Master Plan'!$G53=E$3,"R",IF('Master Plan'!$H53=E$3,"A",IF('Master Plan'!$I53=E$3,"C",IF('Master Plan'!$J53=E$3,"I",""))))</f>
        <v>A</v>
      </c>
      <c r="F53" s="20" t="str">
        <f>IF('Master Plan'!$G53=F$3,"R",IF('Master Plan'!$H53=F$3,"A",IF('Master Plan'!$I53=F$3,"C",IF('Master Plan'!$J53=F$3,"I",""))))</f>
        <v>R</v>
      </c>
      <c r="G53" s="20" t="str">
        <f>IF('Master Plan'!$G53=G$3,"R",IF('Master Plan'!$H53=G$3,"A",IF('Master Plan'!$I53=G$3,"C",IF('Master Plan'!$J53=G$3,"I",""))))</f>
        <v/>
      </c>
      <c r="H53" s="20" t="str">
        <f>IF('Master Plan'!$G53=H$3,"R",IF('Master Plan'!$H53=H$3,"A",IF('Master Plan'!$I53=H$3,"C",IF('Master Plan'!$J53=H$3,"I",""))))</f>
        <v>C</v>
      </c>
      <c r="I53" s="20" t="str">
        <f>IF('Master Plan'!$G53=I$3,"R",IF('Master Plan'!$H53=I$3,"A",IF('Master Plan'!$I53=I$3,"C",IF('Master Plan'!$J53=I$3,"I",""))))</f>
        <v/>
      </c>
      <c r="J53" s="20" t="str">
        <f>IF('Master Plan'!$G53=J$3,"R",IF('Master Plan'!$H53=J$3,"A",IF('Master Plan'!$I53=J$3,"C",IF('Master Plan'!$J53=J$3,"I",""))))</f>
        <v/>
      </c>
      <c r="K53" s="20" t="str">
        <f>IF('Master Plan'!$G53=K$3,"R",IF('Master Plan'!$H53=K$3,"A",IF('Master Plan'!$I53=K$3,"C",IF('Master Plan'!$J53=K$3,"I",""))))</f>
        <v/>
      </c>
      <c r="L53" s="20" t="str">
        <f>IF('Master Plan'!$G53=L$3,"R",IF('Master Plan'!$H53=L$3,"A",IF('Master Plan'!$I53=L$3,"C",IF('Master Plan'!$J53=L$3,"I",""))))</f>
        <v/>
      </c>
      <c r="M53" s="20" t="str">
        <f>IF('Master Plan'!$G53=M$3,"R",IF('Master Plan'!$H53=M$3,"A",IF('Master Plan'!$I53=M$3,"C",IF('Master Plan'!$J53=M$3,"I",""))))</f>
        <v/>
      </c>
      <c r="N53" s="20" t="str">
        <f>IF('Master Plan'!$G53=N$3,"R",IF('Master Plan'!$H53=N$3,"A",IF('Master Plan'!$I53=N$3,"C",IF('Master Plan'!$J53=N$3,"I",""))))</f>
        <v/>
      </c>
      <c r="O53" s="20" t="str">
        <f>IF('Master Plan'!$G53=O$3,"R",IF('Master Plan'!$H53=O$3,"A",IF('Master Plan'!$I53=O$3,"C",IF('Master Plan'!$J53=O$3,"I",""))))</f>
        <v/>
      </c>
      <c r="P53" s="20" t="str">
        <f>IF('Master Plan'!$G53=P$3,"R",IF('Master Plan'!$H53=P$3,"A",IF('Master Plan'!$I53=P$3,"C",IF('Master Plan'!$J53=P$3,"I",""))))</f>
        <v/>
      </c>
      <c r="Q53" s="20" t="str">
        <f>IF('Master Plan'!$G53=Q$3,"R",IF('Master Plan'!$H53=Q$3,"A",IF('Master Plan'!$I53=Q$3,"C",IF('Master Plan'!$J53=Q$3,"I",""))))</f>
        <v/>
      </c>
      <c r="R53" s="20" t="str">
        <f>IF('Master Plan'!$G53=R$3,"R",IF('Master Plan'!$H53=R$3,"A",IF('Master Plan'!$I53=R$3,"C",IF('Master Plan'!$J53=R$3,"I",""))))</f>
        <v/>
      </c>
      <c r="S53" s="20" t="str">
        <f>IF('Master Plan'!$G53=S$3,"R",IF('Master Plan'!$H53=S$3,"A",IF('Master Plan'!$I53=S$3,"C",IF('Master Plan'!$J53=S$3,"I",""))))</f>
        <v>I</v>
      </c>
      <c r="T53" s="20" t="str">
        <f>IF('Master Plan'!$G53=T$3,"R",IF('Master Plan'!$H53=T$3,"A",IF('Master Plan'!$I53=T$3,"C",IF('Master Plan'!$J53=T$3,"I",""))))</f>
        <v/>
      </c>
      <c r="U53" s="20" t="str">
        <f>IF('Master Plan'!$G53=U$3,"R",IF('Master Plan'!$H53=U$3,"A",IF('Master Plan'!$I53=U$3,"C",IF('Master Plan'!$J53=U$3,"I",""))))</f>
        <v/>
      </c>
      <c r="V53" s="20" t="str">
        <f>IF('Master Plan'!$G53=V$3,"R",IF('Master Plan'!$H53=V$3,"A",IF('Master Plan'!$I53=V$3,"C",IF('Master Plan'!$J53=V$3,"I",""))))</f>
        <v/>
      </c>
      <c r="W53" s="20" t="str">
        <f>IF('Master Plan'!$G53=W$3,"R",IF('Master Plan'!$H53=W$3,"A",IF('Master Plan'!$I53=W$3,"C",IF('Master Plan'!$J53=W$3,"I",""))))</f>
        <v/>
      </c>
      <c r="X53" s="20" t="str">
        <f>IF('Master Plan'!$G53=X$3,"R",IF('Master Plan'!$H53=X$3,"A",IF('Master Plan'!$I53=X$3,"C",IF('Master Plan'!$J53=X$3,"I",""))))</f>
        <v/>
      </c>
      <c r="Y53" s="20">
        <f t="shared" si="4"/>
        <v>1</v>
      </c>
      <c r="Z53" s="20">
        <f t="shared" si="5"/>
        <v>1</v>
      </c>
      <c r="AA53" s="20">
        <f t="shared" si="6"/>
        <v>1</v>
      </c>
      <c r="AB53" s="20">
        <f t="shared" si="7"/>
        <v>1</v>
      </c>
    </row>
    <row r="54" spans="1:28" ht="15" customHeight="1" x14ac:dyDescent="0.2">
      <c r="A54" s="35" t="str">
        <f>'Master Plan'!A54</f>
        <v>T-050</v>
      </c>
      <c r="B54" s="35" t="str">
        <f>'Master Plan'!B54</f>
        <v>5. Integration &amp; Testing</v>
      </c>
      <c r="C54" s="35" t="str">
        <f>'Master Plan'!E54</f>
        <v>System Integration Test</v>
      </c>
      <c r="D54" s="35" t="str">
        <f>'Master Plan'!N54</f>
        <v>Not Started</v>
      </c>
      <c r="E54" s="20" t="str">
        <f>IF('Master Plan'!$G54=E$3,"R",IF('Master Plan'!$H54=E$3,"A",IF('Master Plan'!$I54=E$3,"C",IF('Master Plan'!$J54=E$3,"I",""))))</f>
        <v/>
      </c>
      <c r="F54" s="20" t="str">
        <f>IF('Master Plan'!$G54=F$3,"R",IF('Master Plan'!$H54=F$3,"A",IF('Master Plan'!$I54=F$3,"C",IF('Master Plan'!$J54=F$3,"I",""))))</f>
        <v/>
      </c>
      <c r="G54" s="20" t="str">
        <f>IF('Master Plan'!$G54=G$3,"R",IF('Master Plan'!$H54=G$3,"A",IF('Master Plan'!$I54=G$3,"C",IF('Master Plan'!$J54=G$3,"I",""))))</f>
        <v/>
      </c>
      <c r="H54" s="20" t="str">
        <f>IF('Master Plan'!$G54=H$3,"R",IF('Master Plan'!$H54=H$3,"A",IF('Master Plan'!$I54=H$3,"C",IF('Master Plan'!$J54=H$3,"I",""))))</f>
        <v/>
      </c>
      <c r="I54" s="20" t="str">
        <f>IF('Master Plan'!$G54=I$3,"R",IF('Master Plan'!$H54=I$3,"A",IF('Master Plan'!$I54=I$3,"C",IF('Master Plan'!$J54=I$3,"I",""))))</f>
        <v>I</v>
      </c>
      <c r="J54" s="20" t="str">
        <f>IF('Master Plan'!$G54=J$3,"R",IF('Master Plan'!$H54=J$3,"A",IF('Master Plan'!$I54=J$3,"C",IF('Master Plan'!$J54=J$3,"I",""))))</f>
        <v>C</v>
      </c>
      <c r="K54" s="20" t="str">
        <f>IF('Master Plan'!$G54=K$3,"R",IF('Master Plan'!$H54=K$3,"A",IF('Master Plan'!$I54=K$3,"C",IF('Master Plan'!$J54=K$3,"I",""))))</f>
        <v/>
      </c>
      <c r="L54" s="20" t="str">
        <f>IF('Master Plan'!$G54=L$3,"R",IF('Master Plan'!$H54=L$3,"A",IF('Master Plan'!$I54=L$3,"C",IF('Master Plan'!$J54=L$3,"I",""))))</f>
        <v/>
      </c>
      <c r="M54" s="20" t="str">
        <f>IF('Master Plan'!$G54=M$3,"R",IF('Master Plan'!$H54=M$3,"A",IF('Master Plan'!$I54=M$3,"C",IF('Master Plan'!$J54=M$3,"I",""))))</f>
        <v/>
      </c>
      <c r="N54" s="20" t="str">
        <f>IF('Master Plan'!$G54=N$3,"R",IF('Master Plan'!$H54=N$3,"A",IF('Master Plan'!$I54=N$3,"C",IF('Master Plan'!$J54=N$3,"I",""))))</f>
        <v>R</v>
      </c>
      <c r="O54" s="20" t="str">
        <f>IF('Master Plan'!$G54=O$3,"R",IF('Master Plan'!$H54=O$3,"A",IF('Master Plan'!$I54=O$3,"C",IF('Master Plan'!$J54=O$3,"I",""))))</f>
        <v/>
      </c>
      <c r="P54" s="20" t="str">
        <f>IF('Master Plan'!$G54=P$3,"R",IF('Master Plan'!$H54=P$3,"A",IF('Master Plan'!$I54=P$3,"C",IF('Master Plan'!$J54=P$3,"I",""))))</f>
        <v/>
      </c>
      <c r="Q54" s="20" t="str">
        <f>IF('Master Plan'!$G54=Q$3,"R",IF('Master Plan'!$H54=Q$3,"A",IF('Master Plan'!$I54=Q$3,"C",IF('Master Plan'!$J54=Q$3,"I",""))))</f>
        <v/>
      </c>
      <c r="R54" s="20" t="str">
        <f>IF('Master Plan'!$G54=R$3,"R",IF('Master Plan'!$H54=R$3,"A",IF('Master Plan'!$I54=R$3,"C",IF('Master Plan'!$J54=R$3,"I",""))))</f>
        <v/>
      </c>
      <c r="S54" s="20" t="str">
        <f>IF('Master Plan'!$G54=S$3,"R",IF('Master Plan'!$H54=S$3,"A",IF('Master Plan'!$I54=S$3,"C",IF('Master Plan'!$J54=S$3,"I",""))))</f>
        <v/>
      </c>
      <c r="T54" s="20" t="str">
        <f>IF('Master Plan'!$G54=T$3,"R",IF('Master Plan'!$H54=T$3,"A",IF('Master Plan'!$I54=T$3,"C",IF('Master Plan'!$J54=T$3,"I",""))))</f>
        <v/>
      </c>
      <c r="U54" s="20" t="str">
        <f>IF('Master Plan'!$G54=U$3,"R",IF('Master Plan'!$H54=U$3,"A",IF('Master Plan'!$I54=U$3,"C",IF('Master Plan'!$J54=U$3,"I",""))))</f>
        <v/>
      </c>
      <c r="V54" s="20" t="str">
        <f>IF('Master Plan'!$G54=V$3,"R",IF('Master Plan'!$H54=V$3,"A",IF('Master Plan'!$I54=V$3,"C",IF('Master Plan'!$J54=V$3,"I",""))))</f>
        <v/>
      </c>
      <c r="W54" s="20" t="str">
        <f>IF('Master Plan'!$G54=W$3,"R",IF('Master Plan'!$H54=W$3,"A",IF('Master Plan'!$I54=W$3,"C",IF('Master Plan'!$J54=W$3,"I",""))))</f>
        <v/>
      </c>
      <c r="X54" s="20" t="str">
        <f>IF('Master Plan'!$G54=X$3,"R",IF('Master Plan'!$H54=X$3,"A",IF('Master Plan'!$I54=X$3,"C",IF('Master Plan'!$J54=X$3,"I",""))))</f>
        <v/>
      </c>
      <c r="Y54" s="20">
        <f t="shared" si="4"/>
        <v>1</v>
      </c>
      <c r="Z54" s="20">
        <f t="shared" si="5"/>
        <v>0</v>
      </c>
      <c r="AA54" s="20">
        <f t="shared" si="6"/>
        <v>1</v>
      </c>
      <c r="AB54" s="20">
        <f t="shared" si="7"/>
        <v>1</v>
      </c>
    </row>
    <row r="55" spans="1:28" ht="15" customHeight="1" x14ac:dyDescent="0.2">
      <c r="A55" s="35" t="str">
        <f>'Master Plan'!A55</f>
        <v>T-051</v>
      </c>
      <c r="B55" s="35" t="str">
        <f>'Master Plan'!B55</f>
        <v>5. Integration &amp; Testing</v>
      </c>
      <c r="C55" s="35" t="str">
        <f>'Master Plan'!E55</f>
        <v>Defect Management</v>
      </c>
      <c r="D55" s="35" t="str">
        <f>'Master Plan'!N55</f>
        <v>Not Started</v>
      </c>
      <c r="E55" s="20" t="str">
        <f>IF('Master Plan'!$G55=E$3,"R",IF('Master Plan'!$H55=E$3,"A",IF('Master Plan'!$I55=E$3,"C",IF('Master Plan'!$J55=E$3,"I",""))))</f>
        <v/>
      </c>
      <c r="F55" s="20" t="str">
        <f>IF('Master Plan'!$G55=F$3,"R",IF('Master Plan'!$H55=F$3,"A",IF('Master Plan'!$I55=F$3,"C",IF('Master Plan'!$J55=F$3,"I",""))))</f>
        <v>I</v>
      </c>
      <c r="G55" s="20" t="str">
        <f>IF('Master Plan'!$G55=G$3,"R",IF('Master Plan'!$H55=G$3,"A",IF('Master Plan'!$I55=G$3,"C",IF('Master Plan'!$J55=G$3,"I",""))))</f>
        <v/>
      </c>
      <c r="H55" s="20" t="str">
        <f>IF('Master Plan'!$G55=H$3,"R",IF('Master Plan'!$H55=H$3,"A",IF('Master Plan'!$I55=H$3,"C",IF('Master Plan'!$J55=H$3,"I",""))))</f>
        <v/>
      </c>
      <c r="I55" s="20" t="str">
        <f>IF('Master Plan'!$G55=I$3,"R",IF('Master Plan'!$H55=I$3,"A",IF('Master Plan'!$I55=I$3,"C",IF('Master Plan'!$J55=I$3,"I",""))))</f>
        <v>A</v>
      </c>
      <c r="J55" s="20" t="str">
        <f>IF('Master Plan'!$G55=J$3,"R",IF('Master Plan'!$H55=J$3,"A",IF('Master Plan'!$I55=J$3,"C",IF('Master Plan'!$J55=J$3,"I",""))))</f>
        <v>C</v>
      </c>
      <c r="K55" s="20" t="str">
        <f>IF('Master Plan'!$G55=K$3,"R",IF('Master Plan'!$H55=K$3,"A",IF('Master Plan'!$I55=K$3,"C",IF('Master Plan'!$J55=K$3,"I",""))))</f>
        <v/>
      </c>
      <c r="L55" s="20" t="str">
        <f>IF('Master Plan'!$G55=L$3,"R",IF('Master Plan'!$H55=L$3,"A",IF('Master Plan'!$I55=L$3,"C",IF('Master Plan'!$J55=L$3,"I",""))))</f>
        <v/>
      </c>
      <c r="M55" s="20" t="str">
        <f>IF('Master Plan'!$G55=M$3,"R",IF('Master Plan'!$H55=M$3,"A",IF('Master Plan'!$I55=M$3,"C",IF('Master Plan'!$J55=M$3,"I",""))))</f>
        <v/>
      </c>
      <c r="N55" s="20" t="str">
        <f>IF('Master Plan'!$G55=N$3,"R",IF('Master Plan'!$H55=N$3,"A",IF('Master Plan'!$I55=N$3,"C",IF('Master Plan'!$J55=N$3,"I",""))))</f>
        <v>R</v>
      </c>
      <c r="O55" s="20" t="str">
        <f>IF('Master Plan'!$G55=O$3,"R",IF('Master Plan'!$H55=O$3,"A",IF('Master Plan'!$I55=O$3,"C",IF('Master Plan'!$J55=O$3,"I",""))))</f>
        <v/>
      </c>
      <c r="P55" s="20" t="str">
        <f>IF('Master Plan'!$G55=P$3,"R",IF('Master Plan'!$H55=P$3,"A",IF('Master Plan'!$I55=P$3,"C",IF('Master Plan'!$J55=P$3,"I",""))))</f>
        <v/>
      </c>
      <c r="Q55" s="20" t="str">
        <f>IF('Master Plan'!$G55=Q$3,"R",IF('Master Plan'!$H55=Q$3,"A",IF('Master Plan'!$I55=Q$3,"C",IF('Master Plan'!$J55=Q$3,"I",""))))</f>
        <v/>
      </c>
      <c r="R55" s="20" t="str">
        <f>IF('Master Plan'!$G55=R$3,"R",IF('Master Plan'!$H55=R$3,"A",IF('Master Plan'!$I55=R$3,"C",IF('Master Plan'!$J55=R$3,"I",""))))</f>
        <v/>
      </c>
      <c r="S55" s="20" t="str">
        <f>IF('Master Plan'!$G55=S$3,"R",IF('Master Plan'!$H55=S$3,"A",IF('Master Plan'!$I55=S$3,"C",IF('Master Plan'!$J55=S$3,"I",""))))</f>
        <v/>
      </c>
      <c r="T55" s="20" t="str">
        <f>IF('Master Plan'!$G55=T$3,"R",IF('Master Plan'!$H55=T$3,"A",IF('Master Plan'!$I55=T$3,"C",IF('Master Plan'!$J55=T$3,"I",""))))</f>
        <v/>
      </c>
      <c r="U55" s="20" t="str">
        <f>IF('Master Plan'!$G55=U$3,"R",IF('Master Plan'!$H55=U$3,"A",IF('Master Plan'!$I55=U$3,"C",IF('Master Plan'!$J55=U$3,"I",""))))</f>
        <v/>
      </c>
      <c r="V55" s="20" t="str">
        <f>IF('Master Plan'!$G55=V$3,"R",IF('Master Plan'!$H55=V$3,"A",IF('Master Plan'!$I55=V$3,"C",IF('Master Plan'!$J55=V$3,"I",""))))</f>
        <v/>
      </c>
      <c r="W55" s="20" t="str">
        <f>IF('Master Plan'!$G55=W$3,"R",IF('Master Plan'!$H55=W$3,"A",IF('Master Plan'!$I55=W$3,"C",IF('Master Plan'!$J55=W$3,"I",""))))</f>
        <v/>
      </c>
      <c r="X55" s="20" t="str">
        <f>IF('Master Plan'!$G55=X$3,"R",IF('Master Plan'!$H55=X$3,"A",IF('Master Plan'!$I55=X$3,"C",IF('Master Plan'!$J55=X$3,"I",""))))</f>
        <v/>
      </c>
      <c r="Y55" s="20">
        <f t="shared" si="4"/>
        <v>1</v>
      </c>
      <c r="Z55" s="20">
        <f t="shared" si="5"/>
        <v>1</v>
      </c>
      <c r="AA55" s="20">
        <f t="shared" si="6"/>
        <v>1</v>
      </c>
      <c r="AB55" s="20">
        <f t="shared" si="7"/>
        <v>1</v>
      </c>
    </row>
    <row r="56" spans="1:28" ht="15" customHeight="1" x14ac:dyDescent="0.2">
      <c r="A56" s="35" t="str">
        <f>'Master Plan'!A56</f>
        <v>T-052</v>
      </c>
      <c r="B56" s="35" t="str">
        <f>'Master Plan'!B56</f>
        <v>5. Integration &amp; Testing</v>
      </c>
      <c r="C56" s="35" t="str">
        <f>'Master Plan'!E56</f>
        <v>Mock Data Load 2</v>
      </c>
      <c r="D56" s="35" t="str">
        <f>'Master Plan'!N56</f>
        <v>Not Started</v>
      </c>
      <c r="E56" s="20" t="str">
        <f>IF('Master Plan'!$G56=E$3,"R",IF('Master Plan'!$H56=E$3,"A",IF('Master Plan'!$I56=E$3,"C",IF('Master Plan'!$J56=E$3,"I",""))))</f>
        <v/>
      </c>
      <c r="F56" s="20" t="str">
        <f>IF('Master Plan'!$G56=F$3,"R",IF('Master Plan'!$H56=F$3,"A",IF('Master Plan'!$I56=F$3,"C",IF('Master Plan'!$J56=F$3,"I",""))))</f>
        <v/>
      </c>
      <c r="G56" s="20" t="str">
        <f>IF('Master Plan'!$G56=G$3,"R",IF('Master Plan'!$H56=G$3,"A",IF('Master Plan'!$I56=G$3,"C",IF('Master Plan'!$J56=G$3,"I",""))))</f>
        <v/>
      </c>
      <c r="H56" s="20" t="str">
        <f>IF('Master Plan'!$G56=H$3,"R",IF('Master Plan'!$H56=H$3,"A",IF('Master Plan'!$I56=H$3,"C",IF('Master Plan'!$J56=H$3,"I",""))))</f>
        <v/>
      </c>
      <c r="I56" s="20" t="str">
        <f>IF('Master Plan'!$G56=I$3,"R",IF('Master Plan'!$H56=I$3,"A",IF('Master Plan'!$I56=I$3,"C",IF('Master Plan'!$J56=I$3,"I",""))))</f>
        <v/>
      </c>
      <c r="J56" s="20" t="str">
        <f>IF('Master Plan'!$G56=J$3,"R",IF('Master Plan'!$H56=J$3,"A",IF('Master Plan'!$I56=J$3,"C",IF('Master Plan'!$J56=J$3,"I",""))))</f>
        <v>C</v>
      </c>
      <c r="K56" s="20" t="str">
        <f>IF('Master Plan'!$G56=K$3,"R",IF('Master Plan'!$H56=K$3,"A",IF('Master Plan'!$I56=K$3,"C",IF('Master Plan'!$J56=K$3,"I",""))))</f>
        <v/>
      </c>
      <c r="L56" s="20" t="str">
        <f>IF('Master Plan'!$G56=L$3,"R",IF('Master Plan'!$H56=L$3,"A",IF('Master Plan'!$I56=L$3,"C",IF('Master Plan'!$J56=L$3,"I",""))))</f>
        <v>A</v>
      </c>
      <c r="M56" s="20" t="str">
        <f>IF('Master Plan'!$G56=M$3,"R",IF('Master Plan'!$H56=M$3,"A",IF('Master Plan'!$I56=M$3,"C",IF('Master Plan'!$J56=M$3,"I",""))))</f>
        <v>R</v>
      </c>
      <c r="N56" s="20" t="str">
        <f>IF('Master Plan'!$G56=N$3,"R",IF('Master Plan'!$H56=N$3,"A",IF('Master Plan'!$I56=N$3,"C",IF('Master Plan'!$J56=N$3,"I",""))))</f>
        <v>I</v>
      </c>
      <c r="O56" s="20" t="str">
        <f>IF('Master Plan'!$G56=O$3,"R",IF('Master Plan'!$H56=O$3,"A",IF('Master Plan'!$I56=O$3,"C",IF('Master Plan'!$J56=O$3,"I",""))))</f>
        <v/>
      </c>
      <c r="P56" s="20" t="str">
        <f>IF('Master Plan'!$G56=P$3,"R",IF('Master Plan'!$H56=P$3,"A",IF('Master Plan'!$I56=P$3,"C",IF('Master Plan'!$J56=P$3,"I",""))))</f>
        <v/>
      </c>
      <c r="Q56" s="20" t="str">
        <f>IF('Master Plan'!$G56=Q$3,"R",IF('Master Plan'!$H56=Q$3,"A",IF('Master Plan'!$I56=Q$3,"C",IF('Master Plan'!$J56=Q$3,"I",""))))</f>
        <v/>
      </c>
      <c r="R56" s="20" t="str">
        <f>IF('Master Plan'!$G56=R$3,"R",IF('Master Plan'!$H56=R$3,"A",IF('Master Plan'!$I56=R$3,"C",IF('Master Plan'!$J56=R$3,"I",""))))</f>
        <v/>
      </c>
      <c r="S56" s="20" t="str">
        <f>IF('Master Plan'!$G56=S$3,"R",IF('Master Plan'!$H56=S$3,"A",IF('Master Plan'!$I56=S$3,"C",IF('Master Plan'!$J56=S$3,"I",""))))</f>
        <v/>
      </c>
      <c r="T56" s="20" t="str">
        <f>IF('Master Plan'!$G56=T$3,"R",IF('Master Plan'!$H56=T$3,"A",IF('Master Plan'!$I56=T$3,"C",IF('Master Plan'!$J56=T$3,"I",""))))</f>
        <v/>
      </c>
      <c r="U56" s="20" t="str">
        <f>IF('Master Plan'!$G56=U$3,"R",IF('Master Plan'!$H56=U$3,"A",IF('Master Plan'!$I56=U$3,"C",IF('Master Plan'!$J56=U$3,"I",""))))</f>
        <v/>
      </c>
      <c r="V56" s="20" t="str">
        <f>IF('Master Plan'!$G56=V$3,"R",IF('Master Plan'!$H56=V$3,"A",IF('Master Plan'!$I56=V$3,"C",IF('Master Plan'!$J56=V$3,"I",""))))</f>
        <v/>
      </c>
      <c r="W56" s="20" t="str">
        <f>IF('Master Plan'!$G56=W$3,"R",IF('Master Plan'!$H56=W$3,"A",IF('Master Plan'!$I56=W$3,"C",IF('Master Plan'!$J56=W$3,"I",""))))</f>
        <v/>
      </c>
      <c r="X56" s="20" t="str">
        <f>IF('Master Plan'!$G56=X$3,"R",IF('Master Plan'!$H56=X$3,"A",IF('Master Plan'!$I56=X$3,"C",IF('Master Plan'!$J56=X$3,"I",""))))</f>
        <v/>
      </c>
      <c r="Y56" s="20">
        <f t="shared" si="4"/>
        <v>1</v>
      </c>
      <c r="Z56" s="20">
        <f t="shared" si="5"/>
        <v>1</v>
      </c>
      <c r="AA56" s="20">
        <f t="shared" si="6"/>
        <v>1</v>
      </c>
      <c r="AB56" s="20">
        <f t="shared" si="7"/>
        <v>1</v>
      </c>
    </row>
    <row r="57" spans="1:28" ht="15" customHeight="1" x14ac:dyDescent="0.2">
      <c r="A57" s="35" t="str">
        <f>'Master Plan'!A57</f>
        <v>T-053</v>
      </c>
      <c r="B57" s="35" t="str">
        <f>'Master Plan'!B57</f>
        <v>5. Integration &amp; Testing</v>
      </c>
      <c r="C57" s="35" t="str">
        <f>'Master Plan'!E57</f>
        <v>Performance Test</v>
      </c>
      <c r="D57" s="35" t="str">
        <f>'Master Plan'!N57</f>
        <v>Not Started</v>
      </c>
      <c r="E57" s="20" t="str">
        <f>IF('Master Plan'!$G57=E$3,"R",IF('Master Plan'!$H57=E$3,"A",IF('Master Plan'!$I57=E$3,"C",IF('Master Plan'!$J57=E$3,"I",""))))</f>
        <v/>
      </c>
      <c r="F57" s="20" t="str">
        <f>IF('Master Plan'!$G57=F$3,"R",IF('Master Plan'!$H57=F$3,"A",IF('Master Plan'!$I57=F$3,"C",IF('Master Plan'!$J57=F$3,"I",""))))</f>
        <v/>
      </c>
      <c r="G57" s="20" t="str">
        <f>IF('Master Plan'!$G57=G$3,"R",IF('Master Plan'!$H57=G$3,"A",IF('Master Plan'!$I57=G$3,"C",IF('Master Plan'!$J57=G$3,"I",""))))</f>
        <v/>
      </c>
      <c r="H57" s="20" t="str">
        <f>IF('Master Plan'!$G57=H$3,"R",IF('Master Plan'!$H57=H$3,"A",IF('Master Plan'!$I57=H$3,"C",IF('Master Plan'!$J57=H$3,"I",""))))</f>
        <v/>
      </c>
      <c r="I57" s="20" t="str">
        <f>IF('Master Plan'!$G57=I$3,"R",IF('Master Plan'!$H57=I$3,"A",IF('Master Plan'!$I57=I$3,"C",IF('Master Plan'!$J57=I$3,"I",""))))</f>
        <v/>
      </c>
      <c r="J57" s="20" t="str">
        <f>IF('Master Plan'!$G57=J$3,"R",IF('Master Plan'!$H57=J$3,"A",IF('Master Plan'!$I57=J$3,"C",IF('Master Plan'!$J57=J$3,"I",""))))</f>
        <v>A</v>
      </c>
      <c r="K57" s="20" t="str">
        <f>IF('Master Plan'!$G57=K$3,"R",IF('Master Plan'!$H57=K$3,"A",IF('Master Plan'!$I57=K$3,"C",IF('Master Plan'!$J57=K$3,"I",""))))</f>
        <v/>
      </c>
      <c r="L57" s="20" t="str">
        <f>IF('Master Plan'!$G57=L$3,"R",IF('Master Plan'!$H57=L$3,"A",IF('Master Plan'!$I57=L$3,"C",IF('Master Plan'!$J57=L$3,"I",""))))</f>
        <v>C</v>
      </c>
      <c r="M57" s="20" t="str">
        <f>IF('Master Plan'!$G57=M$3,"R",IF('Master Plan'!$H57=M$3,"A",IF('Master Plan'!$I57=M$3,"C",IF('Master Plan'!$J57=M$3,"I",""))))</f>
        <v/>
      </c>
      <c r="N57" s="20" t="str">
        <f>IF('Master Plan'!$G57=N$3,"R",IF('Master Plan'!$H57=N$3,"A",IF('Master Plan'!$I57=N$3,"C",IF('Master Plan'!$J57=N$3,"I",""))))</f>
        <v>R</v>
      </c>
      <c r="O57" s="20" t="str">
        <f>IF('Master Plan'!$G57=O$3,"R",IF('Master Plan'!$H57=O$3,"A",IF('Master Plan'!$I57=O$3,"C",IF('Master Plan'!$J57=O$3,"I",""))))</f>
        <v/>
      </c>
      <c r="P57" s="20" t="str">
        <f>IF('Master Plan'!$G57=P$3,"R",IF('Master Plan'!$H57=P$3,"A",IF('Master Plan'!$I57=P$3,"C",IF('Master Plan'!$J57=P$3,"I",""))))</f>
        <v/>
      </c>
      <c r="Q57" s="20" t="str">
        <f>IF('Master Plan'!$G57=Q$3,"R",IF('Master Plan'!$H57=Q$3,"A",IF('Master Plan'!$I57=Q$3,"C",IF('Master Plan'!$J57=Q$3,"I",""))))</f>
        <v/>
      </c>
      <c r="R57" s="20" t="str">
        <f>IF('Master Plan'!$G57=R$3,"R",IF('Master Plan'!$H57=R$3,"A",IF('Master Plan'!$I57=R$3,"C",IF('Master Plan'!$J57=R$3,"I",""))))</f>
        <v/>
      </c>
      <c r="S57" s="20" t="str">
        <f>IF('Master Plan'!$G57=S$3,"R",IF('Master Plan'!$H57=S$3,"A",IF('Master Plan'!$I57=S$3,"C",IF('Master Plan'!$J57=S$3,"I",""))))</f>
        <v/>
      </c>
      <c r="T57" s="20" t="str">
        <f>IF('Master Plan'!$G57=T$3,"R",IF('Master Plan'!$H57=T$3,"A",IF('Master Plan'!$I57=T$3,"C",IF('Master Plan'!$J57=T$3,"I",""))))</f>
        <v/>
      </c>
      <c r="U57" s="20" t="str">
        <f>IF('Master Plan'!$G57=U$3,"R",IF('Master Plan'!$H57=U$3,"A",IF('Master Plan'!$I57=U$3,"C",IF('Master Plan'!$J57=U$3,"I",""))))</f>
        <v/>
      </c>
      <c r="V57" s="20" t="str">
        <f>IF('Master Plan'!$G57=V$3,"R",IF('Master Plan'!$H57=V$3,"A",IF('Master Plan'!$I57=V$3,"C",IF('Master Plan'!$J57=V$3,"I",""))))</f>
        <v>I</v>
      </c>
      <c r="W57" s="20" t="str">
        <f>IF('Master Plan'!$G57=W$3,"R",IF('Master Plan'!$H57=W$3,"A",IF('Master Plan'!$I57=W$3,"C",IF('Master Plan'!$J57=W$3,"I",""))))</f>
        <v/>
      </c>
      <c r="X57" s="20" t="str">
        <f>IF('Master Plan'!$G57=X$3,"R",IF('Master Plan'!$H57=X$3,"A",IF('Master Plan'!$I57=X$3,"C",IF('Master Plan'!$J57=X$3,"I",""))))</f>
        <v/>
      </c>
      <c r="Y57" s="20">
        <f t="shared" si="4"/>
        <v>1</v>
      </c>
      <c r="Z57" s="20">
        <f t="shared" si="5"/>
        <v>1</v>
      </c>
      <c r="AA57" s="20">
        <f t="shared" si="6"/>
        <v>1</v>
      </c>
      <c r="AB57" s="20">
        <f t="shared" si="7"/>
        <v>1</v>
      </c>
    </row>
    <row r="58" spans="1:28" ht="15" customHeight="1" x14ac:dyDescent="0.2">
      <c r="A58" s="35" t="str">
        <f>'Master Plan'!A58</f>
        <v>T-054</v>
      </c>
      <c r="B58" s="35" t="str">
        <f>'Master Plan'!B58</f>
        <v>5. Integration &amp; Testing</v>
      </c>
      <c r="C58" s="35" t="str">
        <f>'Master Plan'!E58</f>
        <v>Throughput Acceptance Test</v>
      </c>
      <c r="D58" s="35" t="str">
        <f>'Master Plan'!N58</f>
        <v>Not Started</v>
      </c>
      <c r="E58" s="20" t="str">
        <f>IF('Master Plan'!$G58=E$3,"R",IF('Master Plan'!$H58=E$3,"A",IF('Master Plan'!$I58=E$3,"C",IF('Master Plan'!$J58=E$3,"I",""))))</f>
        <v/>
      </c>
      <c r="F58" s="20" t="str">
        <f>IF('Master Plan'!$G58=F$3,"R",IF('Master Plan'!$H58=F$3,"A",IF('Master Plan'!$I58=F$3,"C",IF('Master Plan'!$J58=F$3,"I",""))))</f>
        <v/>
      </c>
      <c r="G58" s="20" t="str">
        <f>IF('Master Plan'!$G58=G$3,"R",IF('Master Plan'!$H58=G$3,"A",IF('Master Plan'!$I58=G$3,"C",IF('Master Plan'!$J58=G$3,"I",""))))</f>
        <v/>
      </c>
      <c r="H58" s="20" t="str">
        <f>IF('Master Plan'!$G58=H$3,"R",IF('Master Plan'!$H58=H$3,"A",IF('Master Plan'!$I58=H$3,"C",IF('Master Plan'!$J58=H$3,"I",""))))</f>
        <v/>
      </c>
      <c r="I58" s="20" t="str">
        <f>IF('Master Plan'!$G58=I$3,"R",IF('Master Plan'!$H58=I$3,"A",IF('Master Plan'!$I58=I$3,"C",IF('Master Plan'!$J58=I$3,"I",""))))</f>
        <v/>
      </c>
      <c r="J58" s="20" t="str">
        <f>IF('Master Plan'!$G58=J$3,"R",IF('Master Plan'!$H58=J$3,"A",IF('Master Plan'!$I58=J$3,"C",IF('Master Plan'!$J58=J$3,"I",""))))</f>
        <v/>
      </c>
      <c r="K58" s="20" t="str">
        <f>IF('Master Plan'!$G58=K$3,"R",IF('Master Plan'!$H58=K$3,"A",IF('Master Plan'!$I58=K$3,"C",IF('Master Plan'!$J58=K$3,"I",""))))</f>
        <v>R</v>
      </c>
      <c r="L58" s="20" t="str">
        <f>IF('Master Plan'!$G58=L$3,"R",IF('Master Plan'!$H58=L$3,"A",IF('Master Plan'!$I58=L$3,"C",IF('Master Plan'!$J58=L$3,"I",""))))</f>
        <v/>
      </c>
      <c r="M58" s="20" t="str">
        <f>IF('Master Plan'!$G58=M$3,"R",IF('Master Plan'!$H58=M$3,"A",IF('Master Plan'!$I58=M$3,"C",IF('Master Plan'!$J58=M$3,"I",""))))</f>
        <v/>
      </c>
      <c r="N58" s="20" t="str">
        <f>IF('Master Plan'!$G58=N$3,"R",IF('Master Plan'!$H58=N$3,"A",IF('Master Plan'!$I58=N$3,"C",IF('Master Plan'!$J58=N$3,"I",""))))</f>
        <v/>
      </c>
      <c r="O58" s="20" t="str">
        <f>IF('Master Plan'!$G58=O$3,"R",IF('Master Plan'!$H58=O$3,"A",IF('Master Plan'!$I58=O$3,"C",IF('Master Plan'!$J58=O$3,"I",""))))</f>
        <v>I</v>
      </c>
      <c r="P58" s="20" t="str">
        <f>IF('Master Plan'!$G58=P$3,"R",IF('Master Plan'!$H58=P$3,"A",IF('Master Plan'!$I58=P$3,"C",IF('Master Plan'!$J58=P$3,"I",""))))</f>
        <v/>
      </c>
      <c r="Q58" s="20" t="str">
        <f>IF('Master Plan'!$G58=Q$3,"R",IF('Master Plan'!$H58=Q$3,"A",IF('Master Plan'!$I58=Q$3,"C",IF('Master Plan'!$J58=Q$3,"I",""))))</f>
        <v/>
      </c>
      <c r="R58" s="20" t="str">
        <f>IF('Master Plan'!$G58=R$3,"R",IF('Master Plan'!$H58=R$3,"A",IF('Master Plan'!$I58=R$3,"C",IF('Master Plan'!$J58=R$3,"I",""))))</f>
        <v>C</v>
      </c>
      <c r="S58" s="20" t="str">
        <f>IF('Master Plan'!$G58=S$3,"R",IF('Master Plan'!$H58=S$3,"A",IF('Master Plan'!$I58=S$3,"C",IF('Master Plan'!$J58=S$3,"I",""))))</f>
        <v/>
      </c>
      <c r="T58" s="20" t="str">
        <f>IF('Master Plan'!$G58=T$3,"R",IF('Master Plan'!$H58=T$3,"A",IF('Master Plan'!$I58=T$3,"C",IF('Master Plan'!$J58=T$3,"I",""))))</f>
        <v/>
      </c>
      <c r="U58" s="20" t="str">
        <f>IF('Master Plan'!$G58=U$3,"R",IF('Master Plan'!$H58=U$3,"A",IF('Master Plan'!$I58=U$3,"C",IF('Master Plan'!$J58=U$3,"I",""))))</f>
        <v/>
      </c>
      <c r="V58" s="20" t="str">
        <f>IF('Master Plan'!$G58=V$3,"R",IF('Master Plan'!$H58=V$3,"A",IF('Master Plan'!$I58=V$3,"C",IF('Master Plan'!$J58=V$3,"I",""))))</f>
        <v/>
      </c>
      <c r="W58" s="20" t="str">
        <f>IF('Master Plan'!$G58=W$3,"R",IF('Master Plan'!$H58=W$3,"A",IF('Master Plan'!$I58=W$3,"C",IF('Master Plan'!$J58=W$3,"I",""))))</f>
        <v/>
      </c>
      <c r="X58" s="20" t="str">
        <f>IF('Master Plan'!$G58=X$3,"R",IF('Master Plan'!$H58=X$3,"A",IF('Master Plan'!$I58=X$3,"C",IF('Master Plan'!$J58=X$3,"I",""))))</f>
        <v/>
      </c>
      <c r="Y58" s="20">
        <f t="shared" si="4"/>
        <v>1</v>
      </c>
      <c r="Z58" s="20">
        <f t="shared" si="5"/>
        <v>0</v>
      </c>
      <c r="AA58" s="20">
        <f t="shared" si="6"/>
        <v>1</v>
      </c>
      <c r="AB58" s="20">
        <f t="shared" si="7"/>
        <v>1</v>
      </c>
    </row>
    <row r="59" spans="1:28" ht="15" customHeight="1" x14ac:dyDescent="0.2">
      <c r="A59" s="35" t="str">
        <f>'Master Plan'!A59</f>
        <v>T-055</v>
      </c>
      <c r="B59" s="35" t="str">
        <f>'Master Plan'!B59</f>
        <v>5. Integration &amp; Testing</v>
      </c>
      <c r="C59" s="35" t="str">
        <f>'Master Plan'!E59</f>
        <v>User Acceptance Test</v>
      </c>
      <c r="D59" s="35" t="str">
        <f>'Master Plan'!N59</f>
        <v>Not Started</v>
      </c>
      <c r="E59" s="20" t="str">
        <f>IF('Master Plan'!$G59=E$3,"R",IF('Master Plan'!$H59=E$3,"A",IF('Master Plan'!$I59=E$3,"C",IF('Master Plan'!$J59=E$3,"I",""))))</f>
        <v/>
      </c>
      <c r="F59" s="20" t="str">
        <f>IF('Master Plan'!$G59=F$3,"R",IF('Master Plan'!$H59=F$3,"A",IF('Master Plan'!$I59=F$3,"C",IF('Master Plan'!$J59=F$3,"I",""))))</f>
        <v/>
      </c>
      <c r="G59" s="20" t="str">
        <f>IF('Master Plan'!$G59=G$3,"R",IF('Master Plan'!$H59=G$3,"A",IF('Master Plan'!$I59=G$3,"C",IF('Master Plan'!$J59=G$3,"I",""))))</f>
        <v/>
      </c>
      <c r="H59" s="20" t="str">
        <f>IF('Master Plan'!$G59=H$3,"R",IF('Master Plan'!$H59=H$3,"A",IF('Master Plan'!$I59=H$3,"C",IF('Master Plan'!$J59=H$3,"I",""))))</f>
        <v/>
      </c>
      <c r="I59" s="20" t="str">
        <f>IF('Master Plan'!$G59=I$3,"R",IF('Master Plan'!$H59=I$3,"A",IF('Master Plan'!$I59=I$3,"C",IF('Master Plan'!$J59=I$3,"I",""))))</f>
        <v>A</v>
      </c>
      <c r="J59" s="20" t="str">
        <f>IF('Master Plan'!$G59=J$3,"R",IF('Master Plan'!$H59=J$3,"A",IF('Master Plan'!$I59=J$3,"C",IF('Master Plan'!$J59=J$3,"I",""))))</f>
        <v/>
      </c>
      <c r="K59" s="20" t="str">
        <f>IF('Master Plan'!$G59=K$3,"R",IF('Master Plan'!$H59=K$3,"A",IF('Master Plan'!$I59=K$3,"C",IF('Master Plan'!$J59=K$3,"I",""))))</f>
        <v/>
      </c>
      <c r="L59" s="20" t="str">
        <f>IF('Master Plan'!$G59=L$3,"R",IF('Master Plan'!$H59=L$3,"A",IF('Master Plan'!$I59=L$3,"C",IF('Master Plan'!$J59=L$3,"I",""))))</f>
        <v/>
      </c>
      <c r="M59" s="20" t="str">
        <f>IF('Master Plan'!$G59=M$3,"R",IF('Master Plan'!$H59=M$3,"A",IF('Master Plan'!$I59=M$3,"C",IF('Master Plan'!$J59=M$3,"I",""))))</f>
        <v/>
      </c>
      <c r="N59" s="20" t="str">
        <f>IF('Master Plan'!$G59=N$3,"R",IF('Master Plan'!$H59=N$3,"A",IF('Master Plan'!$I59=N$3,"C",IF('Master Plan'!$J59=N$3,"I",""))))</f>
        <v>C</v>
      </c>
      <c r="O59" s="20" t="str">
        <f>IF('Master Plan'!$G59=O$3,"R",IF('Master Plan'!$H59=O$3,"A",IF('Master Plan'!$I59=O$3,"C",IF('Master Plan'!$J59=O$3,"I",""))))</f>
        <v>R</v>
      </c>
      <c r="P59" s="20" t="str">
        <f>IF('Master Plan'!$G59=P$3,"R",IF('Master Plan'!$H59=P$3,"A",IF('Master Plan'!$I59=P$3,"C",IF('Master Plan'!$J59=P$3,"I",""))))</f>
        <v/>
      </c>
      <c r="Q59" s="20" t="str">
        <f>IF('Master Plan'!$G59=Q$3,"R",IF('Master Plan'!$H59=Q$3,"A",IF('Master Plan'!$I59=Q$3,"C",IF('Master Plan'!$J59=Q$3,"I",""))))</f>
        <v/>
      </c>
      <c r="R59" s="20" t="str">
        <f>IF('Master Plan'!$G59=R$3,"R",IF('Master Plan'!$H59=R$3,"A",IF('Master Plan'!$I59=R$3,"C",IF('Master Plan'!$J59=R$3,"I",""))))</f>
        <v/>
      </c>
      <c r="S59" s="20" t="str">
        <f>IF('Master Plan'!$G59=S$3,"R",IF('Master Plan'!$H59=S$3,"A",IF('Master Plan'!$I59=S$3,"C",IF('Master Plan'!$J59=S$3,"I",""))))</f>
        <v/>
      </c>
      <c r="T59" s="20" t="str">
        <f>IF('Master Plan'!$G59=T$3,"R",IF('Master Plan'!$H59=T$3,"A",IF('Master Plan'!$I59=T$3,"C",IF('Master Plan'!$J59=T$3,"I",""))))</f>
        <v/>
      </c>
      <c r="U59" s="20" t="str">
        <f>IF('Master Plan'!$G59=U$3,"R",IF('Master Plan'!$H59=U$3,"A",IF('Master Plan'!$I59=U$3,"C",IF('Master Plan'!$J59=U$3,"I",""))))</f>
        <v>I</v>
      </c>
      <c r="V59" s="20" t="str">
        <f>IF('Master Plan'!$G59=V$3,"R",IF('Master Plan'!$H59=V$3,"A",IF('Master Plan'!$I59=V$3,"C",IF('Master Plan'!$J59=V$3,"I",""))))</f>
        <v/>
      </c>
      <c r="W59" s="20" t="str">
        <f>IF('Master Plan'!$G59=W$3,"R",IF('Master Plan'!$H59=W$3,"A",IF('Master Plan'!$I59=W$3,"C",IF('Master Plan'!$J59=W$3,"I",""))))</f>
        <v/>
      </c>
      <c r="X59" s="20" t="str">
        <f>IF('Master Plan'!$G59=X$3,"R",IF('Master Plan'!$H59=X$3,"A",IF('Master Plan'!$I59=X$3,"C",IF('Master Plan'!$J59=X$3,"I",""))))</f>
        <v/>
      </c>
      <c r="Y59" s="20">
        <f t="shared" si="4"/>
        <v>1</v>
      </c>
      <c r="Z59" s="20">
        <f t="shared" si="5"/>
        <v>1</v>
      </c>
      <c r="AA59" s="20">
        <f t="shared" si="6"/>
        <v>1</v>
      </c>
      <c r="AB59" s="20">
        <f t="shared" si="7"/>
        <v>1</v>
      </c>
    </row>
    <row r="60" spans="1:28" ht="15" customHeight="1" x14ac:dyDescent="0.2">
      <c r="A60" s="35" t="str">
        <f>'Master Plan'!A60</f>
        <v>T-056</v>
      </c>
      <c r="B60" s="35" t="str">
        <f>'Master Plan'!B60</f>
        <v>5. Integration &amp; Testing</v>
      </c>
      <c r="C60" s="35" t="str">
        <f>'Master Plan'!E60</f>
        <v>Carrier Connectivity Test</v>
      </c>
      <c r="D60" s="35" t="str">
        <f>'Master Plan'!N60</f>
        <v>Not Started</v>
      </c>
      <c r="E60" s="20" t="str">
        <f>IF('Master Plan'!$G60=E$3,"R",IF('Master Plan'!$H60=E$3,"A",IF('Master Plan'!$I60=E$3,"C",IF('Master Plan'!$J60=E$3,"I",""))))</f>
        <v/>
      </c>
      <c r="F60" s="20" t="str">
        <f>IF('Master Plan'!$G60=F$3,"R",IF('Master Plan'!$H60=F$3,"A",IF('Master Plan'!$I60=F$3,"C",IF('Master Plan'!$J60=F$3,"I",""))))</f>
        <v/>
      </c>
      <c r="G60" s="20" t="str">
        <f>IF('Master Plan'!$G60=G$3,"R",IF('Master Plan'!$H60=G$3,"A",IF('Master Plan'!$I60=G$3,"C",IF('Master Plan'!$J60=G$3,"I",""))))</f>
        <v/>
      </c>
      <c r="H60" s="20" t="str">
        <f>IF('Master Plan'!$G60=H$3,"R",IF('Master Plan'!$H60=H$3,"A",IF('Master Plan'!$I60=H$3,"C",IF('Master Plan'!$J60=H$3,"I",""))))</f>
        <v/>
      </c>
      <c r="I60" s="20" t="str">
        <f>IF('Master Plan'!$G60=I$3,"R",IF('Master Plan'!$H60=I$3,"A",IF('Master Plan'!$I60=I$3,"C",IF('Master Plan'!$J60=I$3,"I",""))))</f>
        <v/>
      </c>
      <c r="J60" s="20" t="str">
        <f>IF('Master Plan'!$G60=J$3,"R",IF('Master Plan'!$H60=J$3,"A",IF('Master Plan'!$I60=J$3,"C",IF('Master Plan'!$J60=J$3,"I",""))))</f>
        <v/>
      </c>
      <c r="K60" s="20" t="str">
        <f>IF('Master Plan'!$G60=K$3,"R",IF('Master Plan'!$H60=K$3,"A",IF('Master Plan'!$I60=K$3,"C",IF('Master Plan'!$J60=K$3,"I",""))))</f>
        <v/>
      </c>
      <c r="L60" s="20" t="str">
        <f>IF('Master Plan'!$G60=L$3,"R",IF('Master Plan'!$H60=L$3,"A",IF('Master Plan'!$I60=L$3,"C",IF('Master Plan'!$J60=L$3,"I",""))))</f>
        <v>C</v>
      </c>
      <c r="M60" s="20" t="str">
        <f>IF('Master Plan'!$G60=M$3,"R",IF('Master Plan'!$H60=M$3,"A",IF('Master Plan'!$I60=M$3,"C",IF('Master Plan'!$J60=M$3,"I",""))))</f>
        <v/>
      </c>
      <c r="N60" s="20" t="str">
        <f>IF('Master Plan'!$G60=N$3,"R",IF('Master Plan'!$H60=N$3,"A",IF('Master Plan'!$I60=N$3,"C",IF('Master Plan'!$J60=N$3,"I",""))))</f>
        <v>I</v>
      </c>
      <c r="O60" s="20" t="str">
        <f>IF('Master Plan'!$G60=O$3,"R",IF('Master Plan'!$H60=O$3,"A",IF('Master Plan'!$I60=O$3,"C",IF('Master Plan'!$J60=O$3,"I",""))))</f>
        <v/>
      </c>
      <c r="P60" s="20" t="str">
        <f>IF('Master Plan'!$G60=P$3,"R",IF('Master Plan'!$H60=P$3,"A",IF('Master Plan'!$I60=P$3,"C",IF('Master Plan'!$J60=P$3,"I",""))))</f>
        <v>R</v>
      </c>
      <c r="Q60" s="20" t="str">
        <f>IF('Master Plan'!$G60=Q$3,"R",IF('Master Plan'!$H60=Q$3,"A",IF('Master Plan'!$I60=Q$3,"C",IF('Master Plan'!$J60=Q$3,"I",""))))</f>
        <v/>
      </c>
      <c r="R60" s="20" t="str">
        <f>IF('Master Plan'!$G60=R$3,"R",IF('Master Plan'!$H60=R$3,"A",IF('Master Plan'!$I60=R$3,"C",IF('Master Plan'!$J60=R$3,"I",""))))</f>
        <v/>
      </c>
      <c r="S60" s="20" t="str">
        <f>IF('Master Plan'!$G60=S$3,"R",IF('Master Plan'!$H60=S$3,"A",IF('Master Plan'!$I60=S$3,"C",IF('Master Plan'!$J60=S$3,"I",""))))</f>
        <v/>
      </c>
      <c r="T60" s="20" t="str">
        <f>IF('Master Plan'!$G60=T$3,"R",IF('Master Plan'!$H60=T$3,"A",IF('Master Plan'!$I60=T$3,"C",IF('Master Plan'!$J60=T$3,"I",""))))</f>
        <v/>
      </c>
      <c r="U60" s="20" t="str">
        <f>IF('Master Plan'!$G60=U$3,"R",IF('Master Plan'!$H60=U$3,"A",IF('Master Plan'!$I60=U$3,"C",IF('Master Plan'!$J60=U$3,"I",""))))</f>
        <v/>
      </c>
      <c r="V60" s="20" t="str">
        <f>IF('Master Plan'!$G60=V$3,"R",IF('Master Plan'!$H60=V$3,"A",IF('Master Plan'!$I60=V$3,"C",IF('Master Plan'!$J60=V$3,"I",""))))</f>
        <v/>
      </c>
      <c r="W60" s="20" t="str">
        <f>IF('Master Plan'!$G60=W$3,"R",IF('Master Plan'!$H60=W$3,"A",IF('Master Plan'!$I60=W$3,"C",IF('Master Plan'!$J60=W$3,"I",""))))</f>
        <v/>
      </c>
      <c r="X60" s="20" t="str">
        <f>IF('Master Plan'!$G60=X$3,"R",IF('Master Plan'!$H60=X$3,"A",IF('Master Plan'!$I60=X$3,"C",IF('Master Plan'!$J60=X$3,"I",""))))</f>
        <v/>
      </c>
      <c r="Y60" s="20">
        <f t="shared" si="4"/>
        <v>1</v>
      </c>
      <c r="Z60" s="20">
        <f t="shared" si="5"/>
        <v>0</v>
      </c>
      <c r="AA60" s="20">
        <f t="shared" si="6"/>
        <v>1</v>
      </c>
      <c r="AB60" s="20">
        <f t="shared" si="7"/>
        <v>1</v>
      </c>
    </row>
    <row r="61" spans="1:28" ht="15" customHeight="1" x14ac:dyDescent="0.2">
      <c r="A61" s="35" t="str">
        <f>'Master Plan'!A61</f>
        <v>T-057</v>
      </c>
      <c r="B61" s="35" t="str">
        <f>'Master Plan'!B61</f>
        <v>5. Integration &amp; Testing</v>
      </c>
      <c r="C61" s="35" t="str">
        <f>'Master Plan'!E61</f>
        <v>Supplier EDI Test</v>
      </c>
      <c r="D61" s="35" t="str">
        <f>'Master Plan'!N61</f>
        <v>Not Started</v>
      </c>
      <c r="E61" s="20" t="str">
        <f>IF('Master Plan'!$G61=E$3,"R",IF('Master Plan'!$H61=E$3,"A",IF('Master Plan'!$I61=E$3,"C",IF('Master Plan'!$J61=E$3,"I",""))))</f>
        <v/>
      </c>
      <c r="F61" s="20" t="str">
        <f>IF('Master Plan'!$G61=F$3,"R",IF('Master Plan'!$H61=F$3,"A",IF('Master Plan'!$I61=F$3,"C",IF('Master Plan'!$J61=F$3,"I",""))))</f>
        <v/>
      </c>
      <c r="G61" s="20" t="str">
        <f>IF('Master Plan'!$G61=G$3,"R",IF('Master Plan'!$H61=G$3,"A",IF('Master Plan'!$I61=G$3,"C",IF('Master Plan'!$J61=G$3,"I",""))))</f>
        <v/>
      </c>
      <c r="H61" s="20" t="str">
        <f>IF('Master Plan'!$G61=H$3,"R",IF('Master Plan'!$H61=H$3,"A",IF('Master Plan'!$I61=H$3,"C",IF('Master Plan'!$J61=H$3,"I",""))))</f>
        <v/>
      </c>
      <c r="I61" s="20" t="str">
        <f>IF('Master Plan'!$G61=I$3,"R",IF('Master Plan'!$H61=I$3,"A",IF('Master Plan'!$I61=I$3,"C",IF('Master Plan'!$J61=I$3,"I",""))))</f>
        <v/>
      </c>
      <c r="J61" s="20" t="str">
        <f>IF('Master Plan'!$G61=J$3,"R",IF('Master Plan'!$H61=J$3,"A",IF('Master Plan'!$I61=J$3,"C",IF('Master Plan'!$J61=J$3,"I",""))))</f>
        <v/>
      </c>
      <c r="K61" s="20" t="str">
        <f>IF('Master Plan'!$G61=K$3,"R",IF('Master Plan'!$H61=K$3,"A",IF('Master Plan'!$I61=K$3,"C",IF('Master Plan'!$J61=K$3,"I",""))))</f>
        <v/>
      </c>
      <c r="L61" s="20" t="str">
        <f>IF('Master Plan'!$G61=L$3,"R",IF('Master Plan'!$H61=L$3,"A",IF('Master Plan'!$I61=L$3,"C",IF('Master Plan'!$J61=L$3,"I",""))))</f>
        <v>R</v>
      </c>
      <c r="M61" s="20" t="str">
        <f>IF('Master Plan'!$G61=M$3,"R",IF('Master Plan'!$H61=M$3,"A",IF('Master Plan'!$I61=M$3,"C",IF('Master Plan'!$J61=M$3,"I",""))))</f>
        <v/>
      </c>
      <c r="N61" s="20" t="str">
        <f>IF('Master Plan'!$G61=N$3,"R",IF('Master Plan'!$H61=N$3,"A",IF('Master Plan'!$I61=N$3,"C",IF('Master Plan'!$J61=N$3,"I",""))))</f>
        <v/>
      </c>
      <c r="O61" s="20" t="str">
        <f>IF('Master Plan'!$G61=O$3,"R",IF('Master Plan'!$H61=O$3,"A",IF('Master Plan'!$I61=O$3,"C",IF('Master Plan'!$J61=O$3,"I",""))))</f>
        <v>I</v>
      </c>
      <c r="P61" s="20" t="str">
        <f>IF('Master Plan'!$G61=P$3,"R",IF('Master Plan'!$H61=P$3,"A",IF('Master Plan'!$I61=P$3,"C",IF('Master Plan'!$J61=P$3,"I",""))))</f>
        <v/>
      </c>
      <c r="Q61" s="20" t="str">
        <f>IF('Master Plan'!$G61=Q$3,"R",IF('Master Plan'!$H61=Q$3,"A",IF('Master Plan'!$I61=Q$3,"C",IF('Master Plan'!$J61=Q$3,"I",""))))</f>
        <v>C</v>
      </c>
      <c r="R61" s="20" t="str">
        <f>IF('Master Plan'!$G61=R$3,"R",IF('Master Plan'!$H61=R$3,"A",IF('Master Plan'!$I61=R$3,"C",IF('Master Plan'!$J61=R$3,"I",""))))</f>
        <v/>
      </c>
      <c r="S61" s="20" t="str">
        <f>IF('Master Plan'!$G61=S$3,"R",IF('Master Plan'!$H61=S$3,"A",IF('Master Plan'!$I61=S$3,"C",IF('Master Plan'!$J61=S$3,"I",""))))</f>
        <v/>
      </c>
      <c r="T61" s="20" t="str">
        <f>IF('Master Plan'!$G61=T$3,"R",IF('Master Plan'!$H61=T$3,"A",IF('Master Plan'!$I61=T$3,"C",IF('Master Plan'!$J61=T$3,"I",""))))</f>
        <v/>
      </c>
      <c r="U61" s="20" t="str">
        <f>IF('Master Plan'!$G61=U$3,"R",IF('Master Plan'!$H61=U$3,"A",IF('Master Plan'!$I61=U$3,"C",IF('Master Plan'!$J61=U$3,"I",""))))</f>
        <v/>
      </c>
      <c r="V61" s="20" t="str">
        <f>IF('Master Plan'!$G61=V$3,"R",IF('Master Plan'!$H61=V$3,"A",IF('Master Plan'!$I61=V$3,"C",IF('Master Plan'!$J61=V$3,"I",""))))</f>
        <v/>
      </c>
      <c r="W61" s="20" t="str">
        <f>IF('Master Plan'!$G61=W$3,"R",IF('Master Plan'!$H61=W$3,"A",IF('Master Plan'!$I61=W$3,"C",IF('Master Plan'!$J61=W$3,"I",""))))</f>
        <v/>
      </c>
      <c r="X61" s="20" t="str">
        <f>IF('Master Plan'!$G61=X$3,"R",IF('Master Plan'!$H61=X$3,"A",IF('Master Plan'!$I61=X$3,"C",IF('Master Plan'!$J61=X$3,"I",""))))</f>
        <v/>
      </c>
      <c r="Y61" s="20">
        <f t="shared" si="4"/>
        <v>1</v>
      </c>
      <c r="Z61" s="20">
        <f t="shared" si="5"/>
        <v>0</v>
      </c>
      <c r="AA61" s="20">
        <f t="shared" si="6"/>
        <v>1</v>
      </c>
      <c r="AB61" s="20">
        <f t="shared" si="7"/>
        <v>1</v>
      </c>
    </row>
    <row r="62" spans="1:28" ht="15" customHeight="1" x14ac:dyDescent="0.2">
      <c r="A62" s="35" t="str">
        <f>'Master Plan'!A62</f>
        <v>T-058</v>
      </c>
      <c r="B62" s="35" t="str">
        <f>'Master Plan'!B62</f>
        <v>5. Integration &amp; Testing</v>
      </c>
      <c r="C62" s="35" t="str">
        <f>'Master Plan'!E62</f>
        <v>Gate 5 Review</v>
      </c>
      <c r="D62" s="35" t="str">
        <f>'Master Plan'!N62</f>
        <v>Not Started</v>
      </c>
      <c r="E62" s="20" t="str">
        <f>IF('Master Plan'!$G62=E$3,"R",IF('Master Plan'!$H62=E$3,"A",IF('Master Plan'!$I62=E$3,"C",IF('Master Plan'!$J62=E$3,"I",""))))</f>
        <v>A</v>
      </c>
      <c r="F62" s="20" t="str">
        <f>IF('Master Plan'!$G62=F$3,"R",IF('Master Plan'!$H62=F$3,"A",IF('Master Plan'!$I62=F$3,"C",IF('Master Plan'!$J62=F$3,"I",""))))</f>
        <v>R</v>
      </c>
      <c r="G62" s="20" t="str">
        <f>IF('Master Plan'!$G62=G$3,"R",IF('Master Plan'!$H62=G$3,"A",IF('Master Plan'!$I62=G$3,"C",IF('Master Plan'!$J62=G$3,"I",""))))</f>
        <v/>
      </c>
      <c r="H62" s="20" t="str">
        <f>IF('Master Plan'!$G62=H$3,"R",IF('Master Plan'!$H62=H$3,"A",IF('Master Plan'!$I62=H$3,"C",IF('Master Plan'!$J62=H$3,"I",""))))</f>
        <v/>
      </c>
      <c r="I62" s="20" t="str">
        <f>IF('Master Plan'!$G62=I$3,"R",IF('Master Plan'!$H62=I$3,"A",IF('Master Plan'!$I62=I$3,"C",IF('Master Plan'!$J62=I$3,"I",""))))</f>
        <v>I</v>
      </c>
      <c r="J62" s="20" t="str">
        <f>IF('Master Plan'!$G62=J$3,"R",IF('Master Plan'!$H62=J$3,"A",IF('Master Plan'!$I62=J$3,"C",IF('Master Plan'!$J62=J$3,"I",""))))</f>
        <v/>
      </c>
      <c r="K62" s="20" t="str">
        <f>IF('Master Plan'!$G62=K$3,"R",IF('Master Plan'!$H62=K$3,"A",IF('Master Plan'!$I62=K$3,"C",IF('Master Plan'!$J62=K$3,"I",""))))</f>
        <v/>
      </c>
      <c r="L62" s="20" t="str">
        <f>IF('Master Plan'!$G62=L$3,"R",IF('Master Plan'!$H62=L$3,"A",IF('Master Plan'!$I62=L$3,"C",IF('Master Plan'!$J62=L$3,"I",""))))</f>
        <v/>
      </c>
      <c r="M62" s="20" t="str">
        <f>IF('Master Plan'!$G62=M$3,"R",IF('Master Plan'!$H62=M$3,"A",IF('Master Plan'!$I62=M$3,"C",IF('Master Plan'!$J62=M$3,"I",""))))</f>
        <v/>
      </c>
      <c r="N62" s="20" t="str">
        <f>IF('Master Plan'!$G62=N$3,"R",IF('Master Plan'!$H62=N$3,"A",IF('Master Plan'!$I62=N$3,"C",IF('Master Plan'!$J62=N$3,"I",""))))</f>
        <v>C</v>
      </c>
      <c r="O62" s="20" t="str">
        <f>IF('Master Plan'!$G62=O$3,"R",IF('Master Plan'!$H62=O$3,"A",IF('Master Plan'!$I62=O$3,"C",IF('Master Plan'!$J62=O$3,"I",""))))</f>
        <v/>
      </c>
      <c r="P62" s="20" t="str">
        <f>IF('Master Plan'!$G62=P$3,"R",IF('Master Plan'!$H62=P$3,"A",IF('Master Plan'!$I62=P$3,"C",IF('Master Plan'!$J62=P$3,"I",""))))</f>
        <v/>
      </c>
      <c r="Q62" s="20" t="str">
        <f>IF('Master Plan'!$G62=Q$3,"R",IF('Master Plan'!$H62=Q$3,"A",IF('Master Plan'!$I62=Q$3,"C",IF('Master Plan'!$J62=Q$3,"I",""))))</f>
        <v/>
      </c>
      <c r="R62" s="20" t="str">
        <f>IF('Master Plan'!$G62=R$3,"R",IF('Master Plan'!$H62=R$3,"A",IF('Master Plan'!$I62=R$3,"C",IF('Master Plan'!$J62=R$3,"I",""))))</f>
        <v/>
      </c>
      <c r="S62" s="20" t="str">
        <f>IF('Master Plan'!$G62=S$3,"R",IF('Master Plan'!$H62=S$3,"A",IF('Master Plan'!$I62=S$3,"C",IF('Master Plan'!$J62=S$3,"I",""))))</f>
        <v/>
      </c>
      <c r="T62" s="20" t="str">
        <f>IF('Master Plan'!$G62=T$3,"R",IF('Master Plan'!$H62=T$3,"A",IF('Master Plan'!$I62=T$3,"C",IF('Master Plan'!$J62=T$3,"I",""))))</f>
        <v/>
      </c>
      <c r="U62" s="20" t="str">
        <f>IF('Master Plan'!$G62=U$3,"R",IF('Master Plan'!$H62=U$3,"A",IF('Master Plan'!$I62=U$3,"C",IF('Master Plan'!$J62=U$3,"I",""))))</f>
        <v/>
      </c>
      <c r="V62" s="20" t="str">
        <f>IF('Master Plan'!$G62=V$3,"R",IF('Master Plan'!$H62=V$3,"A",IF('Master Plan'!$I62=V$3,"C",IF('Master Plan'!$J62=V$3,"I",""))))</f>
        <v/>
      </c>
      <c r="W62" s="20" t="str">
        <f>IF('Master Plan'!$G62=W$3,"R",IF('Master Plan'!$H62=W$3,"A",IF('Master Plan'!$I62=W$3,"C",IF('Master Plan'!$J62=W$3,"I",""))))</f>
        <v/>
      </c>
      <c r="X62" s="20" t="str">
        <f>IF('Master Plan'!$G62=X$3,"R",IF('Master Plan'!$H62=X$3,"A",IF('Master Plan'!$I62=X$3,"C",IF('Master Plan'!$J62=X$3,"I",""))))</f>
        <v/>
      </c>
      <c r="Y62" s="20">
        <f t="shared" si="4"/>
        <v>1</v>
      </c>
      <c r="Z62" s="20">
        <f t="shared" si="5"/>
        <v>1</v>
      </c>
      <c r="AA62" s="20">
        <f t="shared" si="6"/>
        <v>1</v>
      </c>
      <c r="AB62" s="20">
        <f t="shared" si="7"/>
        <v>1</v>
      </c>
    </row>
    <row r="63" spans="1:28" ht="15" customHeight="1" x14ac:dyDescent="0.2">
      <c r="A63" s="35" t="str">
        <f>'Master Plan'!A63</f>
        <v>T-059</v>
      </c>
      <c r="B63" s="35" t="str">
        <f>'Master Plan'!B63</f>
        <v>6. Training &amp; Change</v>
      </c>
      <c r="C63" s="35" t="str">
        <f>'Master Plan'!E63</f>
        <v>Training Content</v>
      </c>
      <c r="D63" s="35" t="str">
        <f>'Master Plan'!N63</f>
        <v>Not Started</v>
      </c>
      <c r="E63" s="20" t="str">
        <f>IF('Master Plan'!$G63=E$3,"R",IF('Master Plan'!$H63=E$3,"A",IF('Master Plan'!$I63=E$3,"C",IF('Master Plan'!$J63=E$3,"I",""))))</f>
        <v/>
      </c>
      <c r="F63" s="20" t="str">
        <f>IF('Master Plan'!$G63=F$3,"R",IF('Master Plan'!$H63=F$3,"A",IF('Master Plan'!$I63=F$3,"C",IF('Master Plan'!$J63=F$3,"I",""))))</f>
        <v/>
      </c>
      <c r="G63" s="20" t="str">
        <f>IF('Master Plan'!$G63=G$3,"R",IF('Master Plan'!$H63=G$3,"A",IF('Master Plan'!$I63=G$3,"C",IF('Master Plan'!$J63=G$3,"I",""))))</f>
        <v/>
      </c>
      <c r="H63" s="20" t="str">
        <f>IF('Master Plan'!$G63=H$3,"R",IF('Master Plan'!$H63=H$3,"A",IF('Master Plan'!$I63=H$3,"C",IF('Master Plan'!$J63=H$3,"I",""))))</f>
        <v/>
      </c>
      <c r="I63" s="20" t="str">
        <f>IF('Master Plan'!$G63=I$3,"R",IF('Master Plan'!$H63=I$3,"A",IF('Master Plan'!$I63=I$3,"C",IF('Master Plan'!$J63=I$3,"I",""))))</f>
        <v>I</v>
      </c>
      <c r="J63" s="20" t="str">
        <f>IF('Master Plan'!$G63=J$3,"R",IF('Master Plan'!$H63=J$3,"A",IF('Master Plan'!$I63=J$3,"C",IF('Master Plan'!$J63=J$3,"I",""))))</f>
        <v/>
      </c>
      <c r="K63" s="20" t="str">
        <f>IF('Master Plan'!$G63=K$3,"R",IF('Master Plan'!$H63=K$3,"A",IF('Master Plan'!$I63=K$3,"C",IF('Master Plan'!$J63=K$3,"I",""))))</f>
        <v/>
      </c>
      <c r="L63" s="20" t="str">
        <f>IF('Master Plan'!$G63=L$3,"R",IF('Master Plan'!$H63=L$3,"A",IF('Master Plan'!$I63=L$3,"C",IF('Master Plan'!$J63=L$3,"I",""))))</f>
        <v/>
      </c>
      <c r="M63" s="20" t="str">
        <f>IF('Master Plan'!$G63=M$3,"R",IF('Master Plan'!$H63=M$3,"A",IF('Master Plan'!$I63=M$3,"C",IF('Master Plan'!$J63=M$3,"I",""))))</f>
        <v/>
      </c>
      <c r="N63" s="20" t="str">
        <f>IF('Master Plan'!$G63=N$3,"R",IF('Master Plan'!$H63=N$3,"A",IF('Master Plan'!$I63=N$3,"C",IF('Master Plan'!$J63=N$3,"I",""))))</f>
        <v/>
      </c>
      <c r="O63" s="20" t="str">
        <f>IF('Master Plan'!$G63=O$3,"R",IF('Master Plan'!$H63=O$3,"A",IF('Master Plan'!$I63=O$3,"C",IF('Master Plan'!$J63=O$3,"I",""))))</f>
        <v>C</v>
      </c>
      <c r="P63" s="20" t="str">
        <f>IF('Master Plan'!$G63=P$3,"R",IF('Master Plan'!$H63=P$3,"A",IF('Master Plan'!$I63=P$3,"C",IF('Master Plan'!$J63=P$3,"I",""))))</f>
        <v/>
      </c>
      <c r="Q63" s="20" t="str">
        <f>IF('Master Plan'!$G63=Q$3,"R",IF('Master Plan'!$H63=Q$3,"A",IF('Master Plan'!$I63=Q$3,"C",IF('Master Plan'!$J63=Q$3,"I",""))))</f>
        <v/>
      </c>
      <c r="R63" s="20" t="str">
        <f>IF('Master Plan'!$G63=R$3,"R",IF('Master Plan'!$H63=R$3,"A",IF('Master Plan'!$I63=R$3,"C",IF('Master Plan'!$J63=R$3,"I",""))))</f>
        <v/>
      </c>
      <c r="S63" s="20" t="str">
        <f>IF('Master Plan'!$G63=S$3,"R",IF('Master Plan'!$H63=S$3,"A",IF('Master Plan'!$I63=S$3,"C",IF('Master Plan'!$J63=S$3,"I",""))))</f>
        <v/>
      </c>
      <c r="T63" s="20" t="str">
        <f>IF('Master Plan'!$G63=T$3,"R",IF('Master Plan'!$H63=T$3,"A",IF('Master Plan'!$I63=T$3,"C",IF('Master Plan'!$J63=T$3,"I",""))))</f>
        <v/>
      </c>
      <c r="U63" s="20" t="str">
        <f>IF('Master Plan'!$G63=U$3,"R",IF('Master Plan'!$H63=U$3,"A",IF('Master Plan'!$I63=U$3,"C",IF('Master Plan'!$J63=U$3,"I",""))))</f>
        <v>R</v>
      </c>
      <c r="V63" s="20" t="str">
        <f>IF('Master Plan'!$G63=V$3,"R",IF('Master Plan'!$H63=V$3,"A",IF('Master Plan'!$I63=V$3,"C",IF('Master Plan'!$J63=V$3,"I",""))))</f>
        <v/>
      </c>
      <c r="W63" s="20" t="str">
        <f>IF('Master Plan'!$G63=W$3,"R",IF('Master Plan'!$H63=W$3,"A",IF('Master Plan'!$I63=W$3,"C",IF('Master Plan'!$J63=W$3,"I",""))))</f>
        <v/>
      </c>
      <c r="X63" s="20" t="str">
        <f>IF('Master Plan'!$G63=X$3,"R",IF('Master Plan'!$H63=X$3,"A",IF('Master Plan'!$I63=X$3,"C",IF('Master Plan'!$J63=X$3,"I",""))))</f>
        <v/>
      </c>
      <c r="Y63" s="20">
        <f t="shared" si="4"/>
        <v>1</v>
      </c>
      <c r="Z63" s="20">
        <f t="shared" si="5"/>
        <v>0</v>
      </c>
      <c r="AA63" s="20">
        <f t="shared" si="6"/>
        <v>1</v>
      </c>
      <c r="AB63" s="20">
        <f t="shared" si="7"/>
        <v>1</v>
      </c>
    </row>
    <row r="64" spans="1:28" ht="15" customHeight="1" x14ac:dyDescent="0.2">
      <c r="A64" s="35" t="str">
        <f>'Master Plan'!A64</f>
        <v>T-060</v>
      </c>
      <c r="B64" s="35" t="str">
        <f>'Master Plan'!B64</f>
        <v>6. Training &amp; Change</v>
      </c>
      <c r="C64" s="35" t="str">
        <f>'Master Plan'!E64</f>
        <v>Super-User Training</v>
      </c>
      <c r="D64" s="35" t="str">
        <f>'Master Plan'!N64</f>
        <v>Not Started</v>
      </c>
      <c r="E64" s="20" t="str">
        <f>IF('Master Plan'!$G64=E$3,"R",IF('Master Plan'!$H64=E$3,"A",IF('Master Plan'!$I64=E$3,"C",IF('Master Plan'!$J64=E$3,"I",""))))</f>
        <v/>
      </c>
      <c r="F64" s="20" t="str">
        <f>IF('Master Plan'!$G64=F$3,"R",IF('Master Plan'!$H64=F$3,"A",IF('Master Plan'!$I64=F$3,"C",IF('Master Plan'!$J64=F$3,"I",""))))</f>
        <v/>
      </c>
      <c r="G64" s="20" t="str">
        <f>IF('Master Plan'!$G64=G$3,"R",IF('Master Plan'!$H64=G$3,"A",IF('Master Plan'!$I64=G$3,"C",IF('Master Plan'!$J64=G$3,"I",""))))</f>
        <v/>
      </c>
      <c r="H64" s="20" t="str">
        <f>IF('Master Plan'!$G64=H$3,"R",IF('Master Plan'!$H64=H$3,"A",IF('Master Plan'!$I64=H$3,"C",IF('Master Plan'!$J64=H$3,"I",""))))</f>
        <v/>
      </c>
      <c r="I64" s="20" t="str">
        <f>IF('Master Plan'!$G64=I$3,"R",IF('Master Plan'!$H64=I$3,"A",IF('Master Plan'!$I64=I$3,"C",IF('Master Plan'!$J64=I$3,"I",""))))</f>
        <v>C</v>
      </c>
      <c r="J64" s="20" t="str">
        <f>IF('Master Plan'!$G64=J$3,"R",IF('Master Plan'!$H64=J$3,"A",IF('Master Plan'!$I64=J$3,"C",IF('Master Plan'!$J64=J$3,"I",""))))</f>
        <v/>
      </c>
      <c r="K64" s="20" t="str">
        <f>IF('Master Plan'!$G64=K$3,"R",IF('Master Plan'!$H64=K$3,"A",IF('Master Plan'!$I64=K$3,"C",IF('Master Plan'!$J64=K$3,"I",""))))</f>
        <v/>
      </c>
      <c r="L64" s="20" t="str">
        <f>IF('Master Plan'!$G64=L$3,"R",IF('Master Plan'!$H64=L$3,"A",IF('Master Plan'!$I64=L$3,"C",IF('Master Plan'!$J64=L$3,"I",""))))</f>
        <v/>
      </c>
      <c r="M64" s="20" t="str">
        <f>IF('Master Plan'!$G64=M$3,"R",IF('Master Plan'!$H64=M$3,"A",IF('Master Plan'!$I64=M$3,"C",IF('Master Plan'!$J64=M$3,"I",""))))</f>
        <v/>
      </c>
      <c r="N64" s="20" t="str">
        <f>IF('Master Plan'!$G64=N$3,"R",IF('Master Plan'!$H64=N$3,"A",IF('Master Plan'!$I64=N$3,"C",IF('Master Plan'!$J64=N$3,"I",""))))</f>
        <v>I</v>
      </c>
      <c r="O64" s="20" t="str">
        <f>IF('Master Plan'!$G64=O$3,"R",IF('Master Plan'!$H64=O$3,"A",IF('Master Plan'!$I64=O$3,"C",IF('Master Plan'!$J64=O$3,"I",""))))</f>
        <v>A</v>
      </c>
      <c r="P64" s="20" t="str">
        <f>IF('Master Plan'!$G64=P$3,"R",IF('Master Plan'!$H64=P$3,"A",IF('Master Plan'!$I64=P$3,"C",IF('Master Plan'!$J64=P$3,"I",""))))</f>
        <v/>
      </c>
      <c r="Q64" s="20" t="str">
        <f>IF('Master Plan'!$G64=Q$3,"R",IF('Master Plan'!$H64=Q$3,"A",IF('Master Plan'!$I64=Q$3,"C",IF('Master Plan'!$J64=Q$3,"I",""))))</f>
        <v/>
      </c>
      <c r="R64" s="20" t="str">
        <f>IF('Master Plan'!$G64=R$3,"R",IF('Master Plan'!$H64=R$3,"A",IF('Master Plan'!$I64=R$3,"C",IF('Master Plan'!$J64=R$3,"I",""))))</f>
        <v/>
      </c>
      <c r="S64" s="20" t="str">
        <f>IF('Master Plan'!$G64=S$3,"R",IF('Master Plan'!$H64=S$3,"A",IF('Master Plan'!$I64=S$3,"C",IF('Master Plan'!$J64=S$3,"I",""))))</f>
        <v/>
      </c>
      <c r="T64" s="20" t="str">
        <f>IF('Master Plan'!$G64=T$3,"R",IF('Master Plan'!$H64=T$3,"A",IF('Master Plan'!$I64=T$3,"C",IF('Master Plan'!$J64=T$3,"I",""))))</f>
        <v/>
      </c>
      <c r="U64" s="20" t="str">
        <f>IF('Master Plan'!$G64=U$3,"R",IF('Master Plan'!$H64=U$3,"A",IF('Master Plan'!$I64=U$3,"C",IF('Master Plan'!$J64=U$3,"I",""))))</f>
        <v>R</v>
      </c>
      <c r="V64" s="20" t="str">
        <f>IF('Master Plan'!$G64=V$3,"R",IF('Master Plan'!$H64=V$3,"A",IF('Master Plan'!$I64=V$3,"C",IF('Master Plan'!$J64=V$3,"I",""))))</f>
        <v/>
      </c>
      <c r="W64" s="20" t="str">
        <f>IF('Master Plan'!$G64=W$3,"R",IF('Master Plan'!$H64=W$3,"A",IF('Master Plan'!$I64=W$3,"C",IF('Master Plan'!$J64=W$3,"I",""))))</f>
        <v/>
      </c>
      <c r="X64" s="20" t="str">
        <f>IF('Master Plan'!$G64=X$3,"R",IF('Master Plan'!$H64=X$3,"A",IF('Master Plan'!$I64=X$3,"C",IF('Master Plan'!$J64=X$3,"I",""))))</f>
        <v/>
      </c>
      <c r="Y64" s="20">
        <f t="shared" si="4"/>
        <v>1</v>
      </c>
      <c r="Z64" s="20">
        <f t="shared" si="5"/>
        <v>1</v>
      </c>
      <c r="AA64" s="20">
        <f t="shared" si="6"/>
        <v>1</v>
      </c>
      <c r="AB64" s="20">
        <f t="shared" si="7"/>
        <v>1</v>
      </c>
    </row>
    <row r="65" spans="1:28" ht="15" customHeight="1" x14ac:dyDescent="0.2">
      <c r="A65" s="35" t="str">
        <f>'Master Plan'!A65</f>
        <v>T-061</v>
      </c>
      <c r="B65" s="35" t="str">
        <f>'Master Plan'!B65</f>
        <v>6. Training &amp; Change</v>
      </c>
      <c r="C65" s="35" t="str">
        <f>'Master Plan'!E65</f>
        <v>Associate Hiring</v>
      </c>
      <c r="D65" s="35" t="str">
        <f>'Master Plan'!N65</f>
        <v>Not Started</v>
      </c>
      <c r="E65" s="20" t="str">
        <f>IF('Master Plan'!$G65=E$3,"R",IF('Master Plan'!$H65=E$3,"A",IF('Master Plan'!$I65=E$3,"C",IF('Master Plan'!$J65=E$3,"I",""))))</f>
        <v/>
      </c>
      <c r="F65" s="20" t="str">
        <f>IF('Master Plan'!$G65=F$3,"R",IF('Master Plan'!$H65=F$3,"A",IF('Master Plan'!$I65=F$3,"C",IF('Master Plan'!$J65=F$3,"I",""))))</f>
        <v/>
      </c>
      <c r="G65" s="20" t="str">
        <f>IF('Master Plan'!$G65=G$3,"R",IF('Master Plan'!$H65=G$3,"A",IF('Master Plan'!$I65=G$3,"C",IF('Master Plan'!$J65=G$3,"I",""))))</f>
        <v/>
      </c>
      <c r="H65" s="20" t="str">
        <f>IF('Master Plan'!$G65=H$3,"R",IF('Master Plan'!$H65=H$3,"A",IF('Master Plan'!$I65=H$3,"C",IF('Master Plan'!$J65=H$3,"I",""))))</f>
        <v/>
      </c>
      <c r="I65" s="20" t="str">
        <f>IF('Master Plan'!$G65=I$3,"R",IF('Master Plan'!$H65=I$3,"A",IF('Master Plan'!$I65=I$3,"C",IF('Master Plan'!$J65=I$3,"I",""))))</f>
        <v/>
      </c>
      <c r="J65" s="20" t="str">
        <f>IF('Master Plan'!$G65=J$3,"R",IF('Master Plan'!$H65=J$3,"A",IF('Master Plan'!$I65=J$3,"C",IF('Master Plan'!$J65=J$3,"I",""))))</f>
        <v/>
      </c>
      <c r="K65" s="20" t="str">
        <f>IF('Master Plan'!$G65=K$3,"R",IF('Master Plan'!$H65=K$3,"A",IF('Master Plan'!$I65=K$3,"C",IF('Master Plan'!$J65=K$3,"I",""))))</f>
        <v/>
      </c>
      <c r="L65" s="20" t="str">
        <f>IF('Master Plan'!$G65=L$3,"R",IF('Master Plan'!$H65=L$3,"A",IF('Master Plan'!$I65=L$3,"C",IF('Master Plan'!$J65=L$3,"I",""))))</f>
        <v/>
      </c>
      <c r="M65" s="20" t="str">
        <f>IF('Master Plan'!$G65=M$3,"R",IF('Master Plan'!$H65=M$3,"A",IF('Master Plan'!$I65=M$3,"C",IF('Master Plan'!$J65=M$3,"I",""))))</f>
        <v/>
      </c>
      <c r="N65" s="20" t="str">
        <f>IF('Master Plan'!$G65=N$3,"R",IF('Master Plan'!$H65=N$3,"A",IF('Master Plan'!$I65=N$3,"C",IF('Master Plan'!$J65=N$3,"I",""))))</f>
        <v/>
      </c>
      <c r="O65" s="20" t="str">
        <f>IF('Master Plan'!$G65=O$3,"R",IF('Master Plan'!$H65=O$3,"A",IF('Master Plan'!$I65=O$3,"C",IF('Master Plan'!$J65=O$3,"I",""))))</f>
        <v>R</v>
      </c>
      <c r="P65" s="20" t="str">
        <f>IF('Master Plan'!$G65=P$3,"R",IF('Master Plan'!$H65=P$3,"A",IF('Master Plan'!$I65=P$3,"C",IF('Master Plan'!$J65=P$3,"I",""))))</f>
        <v/>
      </c>
      <c r="Q65" s="20" t="str">
        <f>IF('Master Plan'!$G65=Q$3,"R",IF('Master Plan'!$H65=Q$3,"A",IF('Master Plan'!$I65=Q$3,"C",IF('Master Plan'!$J65=Q$3,"I",""))))</f>
        <v/>
      </c>
      <c r="R65" s="20" t="str">
        <f>IF('Master Plan'!$G65=R$3,"R",IF('Master Plan'!$H65=R$3,"A",IF('Master Plan'!$I65=R$3,"C",IF('Master Plan'!$J65=R$3,"I",""))))</f>
        <v/>
      </c>
      <c r="S65" s="20" t="str">
        <f>IF('Master Plan'!$G65=S$3,"R",IF('Master Plan'!$H65=S$3,"A",IF('Master Plan'!$I65=S$3,"C",IF('Master Plan'!$J65=S$3,"I",""))))</f>
        <v/>
      </c>
      <c r="T65" s="20" t="str">
        <f>IF('Master Plan'!$G65=T$3,"R",IF('Master Plan'!$H65=T$3,"A",IF('Master Plan'!$I65=T$3,"C",IF('Master Plan'!$J65=T$3,"I",""))))</f>
        <v>I</v>
      </c>
      <c r="U65" s="20" t="str">
        <f>IF('Master Plan'!$G65=U$3,"R",IF('Master Plan'!$H65=U$3,"A",IF('Master Plan'!$I65=U$3,"C",IF('Master Plan'!$J65=U$3,"I",""))))</f>
        <v>C</v>
      </c>
      <c r="V65" s="20" t="str">
        <f>IF('Master Plan'!$G65=V$3,"R",IF('Master Plan'!$H65=V$3,"A",IF('Master Plan'!$I65=V$3,"C",IF('Master Plan'!$J65=V$3,"I",""))))</f>
        <v/>
      </c>
      <c r="W65" s="20" t="str">
        <f>IF('Master Plan'!$G65=W$3,"R",IF('Master Plan'!$H65=W$3,"A",IF('Master Plan'!$I65=W$3,"C",IF('Master Plan'!$J65=W$3,"I",""))))</f>
        <v/>
      </c>
      <c r="X65" s="20" t="str">
        <f>IF('Master Plan'!$G65=X$3,"R",IF('Master Plan'!$H65=X$3,"A",IF('Master Plan'!$I65=X$3,"C",IF('Master Plan'!$J65=X$3,"I",""))))</f>
        <v/>
      </c>
      <c r="Y65" s="20">
        <f t="shared" si="4"/>
        <v>1</v>
      </c>
      <c r="Z65" s="20">
        <f t="shared" si="5"/>
        <v>0</v>
      </c>
      <c r="AA65" s="20">
        <f t="shared" si="6"/>
        <v>1</v>
      </c>
      <c r="AB65" s="20">
        <f t="shared" si="7"/>
        <v>1</v>
      </c>
    </row>
    <row r="66" spans="1:28" ht="15" customHeight="1" x14ac:dyDescent="0.2">
      <c r="A66" s="35" t="str">
        <f>'Master Plan'!A66</f>
        <v>T-062</v>
      </c>
      <c r="B66" s="35" t="str">
        <f>'Master Plan'!B66</f>
        <v>6. Training &amp; Change</v>
      </c>
      <c r="C66" s="35" t="str">
        <f>'Master Plan'!E66</f>
        <v>Associate Training</v>
      </c>
      <c r="D66" s="35" t="str">
        <f>'Master Plan'!N66</f>
        <v>Not Started</v>
      </c>
      <c r="E66" s="20" t="str">
        <f>IF('Master Plan'!$G66=E$3,"R",IF('Master Plan'!$H66=E$3,"A",IF('Master Plan'!$I66=E$3,"C",IF('Master Plan'!$J66=E$3,"I",""))))</f>
        <v/>
      </c>
      <c r="F66" s="20" t="str">
        <f>IF('Master Plan'!$G66=F$3,"R",IF('Master Plan'!$H66=F$3,"A",IF('Master Plan'!$I66=F$3,"C",IF('Master Plan'!$J66=F$3,"I",""))))</f>
        <v/>
      </c>
      <c r="G66" s="20" t="str">
        <f>IF('Master Plan'!$G66=G$3,"R",IF('Master Plan'!$H66=G$3,"A",IF('Master Plan'!$I66=G$3,"C",IF('Master Plan'!$J66=G$3,"I",""))))</f>
        <v/>
      </c>
      <c r="H66" s="20" t="str">
        <f>IF('Master Plan'!$G66=H$3,"R",IF('Master Plan'!$H66=H$3,"A",IF('Master Plan'!$I66=H$3,"C",IF('Master Plan'!$J66=H$3,"I",""))))</f>
        <v/>
      </c>
      <c r="I66" s="20" t="str">
        <f>IF('Master Plan'!$G66=I$3,"R",IF('Master Plan'!$H66=I$3,"A",IF('Master Plan'!$I66=I$3,"C",IF('Master Plan'!$J66=I$3,"I",""))))</f>
        <v>C</v>
      </c>
      <c r="J66" s="20" t="str">
        <f>IF('Master Plan'!$G66=J$3,"R",IF('Master Plan'!$H66=J$3,"A",IF('Master Plan'!$I66=J$3,"C",IF('Master Plan'!$J66=J$3,"I",""))))</f>
        <v/>
      </c>
      <c r="K66" s="20" t="str">
        <f>IF('Master Plan'!$G66=K$3,"R",IF('Master Plan'!$H66=K$3,"A",IF('Master Plan'!$I66=K$3,"C",IF('Master Plan'!$J66=K$3,"I",""))))</f>
        <v/>
      </c>
      <c r="L66" s="20" t="str">
        <f>IF('Master Plan'!$G66=L$3,"R",IF('Master Plan'!$H66=L$3,"A",IF('Master Plan'!$I66=L$3,"C",IF('Master Plan'!$J66=L$3,"I",""))))</f>
        <v/>
      </c>
      <c r="M66" s="20" t="str">
        <f>IF('Master Plan'!$G66=M$3,"R",IF('Master Plan'!$H66=M$3,"A",IF('Master Plan'!$I66=M$3,"C",IF('Master Plan'!$J66=M$3,"I",""))))</f>
        <v/>
      </c>
      <c r="N66" s="20" t="str">
        <f>IF('Master Plan'!$G66=N$3,"R",IF('Master Plan'!$H66=N$3,"A",IF('Master Plan'!$I66=N$3,"C",IF('Master Plan'!$J66=N$3,"I",""))))</f>
        <v/>
      </c>
      <c r="O66" s="20" t="str">
        <f>IF('Master Plan'!$G66=O$3,"R",IF('Master Plan'!$H66=O$3,"A",IF('Master Plan'!$I66=O$3,"C",IF('Master Plan'!$J66=O$3,"I",""))))</f>
        <v>A</v>
      </c>
      <c r="P66" s="20" t="str">
        <f>IF('Master Plan'!$G66=P$3,"R",IF('Master Plan'!$H66=P$3,"A",IF('Master Plan'!$I66=P$3,"C",IF('Master Plan'!$J66=P$3,"I",""))))</f>
        <v/>
      </c>
      <c r="Q66" s="20" t="str">
        <f>IF('Master Plan'!$G66=Q$3,"R",IF('Master Plan'!$H66=Q$3,"A",IF('Master Plan'!$I66=Q$3,"C",IF('Master Plan'!$J66=Q$3,"I",""))))</f>
        <v/>
      </c>
      <c r="R66" s="20" t="str">
        <f>IF('Master Plan'!$G66=R$3,"R",IF('Master Plan'!$H66=R$3,"A",IF('Master Plan'!$I66=R$3,"C",IF('Master Plan'!$J66=R$3,"I",""))))</f>
        <v/>
      </c>
      <c r="S66" s="20" t="str">
        <f>IF('Master Plan'!$G66=S$3,"R",IF('Master Plan'!$H66=S$3,"A",IF('Master Plan'!$I66=S$3,"C",IF('Master Plan'!$J66=S$3,"I",""))))</f>
        <v>I</v>
      </c>
      <c r="T66" s="20" t="str">
        <f>IF('Master Plan'!$G66=T$3,"R",IF('Master Plan'!$H66=T$3,"A",IF('Master Plan'!$I66=T$3,"C",IF('Master Plan'!$J66=T$3,"I",""))))</f>
        <v/>
      </c>
      <c r="U66" s="20" t="str">
        <f>IF('Master Plan'!$G66=U$3,"R",IF('Master Plan'!$H66=U$3,"A",IF('Master Plan'!$I66=U$3,"C",IF('Master Plan'!$J66=U$3,"I",""))))</f>
        <v>R</v>
      </c>
      <c r="V66" s="20" t="str">
        <f>IF('Master Plan'!$G66=V$3,"R",IF('Master Plan'!$H66=V$3,"A",IF('Master Plan'!$I66=V$3,"C",IF('Master Plan'!$J66=V$3,"I",""))))</f>
        <v/>
      </c>
      <c r="W66" s="20" t="str">
        <f>IF('Master Plan'!$G66=W$3,"R",IF('Master Plan'!$H66=W$3,"A",IF('Master Plan'!$I66=W$3,"C",IF('Master Plan'!$J66=W$3,"I",""))))</f>
        <v/>
      </c>
      <c r="X66" s="20" t="str">
        <f>IF('Master Plan'!$G66=X$3,"R",IF('Master Plan'!$H66=X$3,"A",IF('Master Plan'!$I66=X$3,"C",IF('Master Plan'!$J66=X$3,"I",""))))</f>
        <v/>
      </c>
      <c r="Y66" s="20">
        <f t="shared" si="4"/>
        <v>1</v>
      </c>
      <c r="Z66" s="20">
        <f t="shared" si="5"/>
        <v>1</v>
      </c>
      <c r="AA66" s="20">
        <f t="shared" si="6"/>
        <v>1</v>
      </c>
      <c r="AB66" s="20">
        <f t="shared" si="7"/>
        <v>1</v>
      </c>
    </row>
    <row r="67" spans="1:28" ht="15" customHeight="1" x14ac:dyDescent="0.2">
      <c r="A67" s="35" t="str">
        <f>'Master Plan'!A67</f>
        <v>T-063</v>
      </c>
      <c r="B67" s="35" t="str">
        <f>'Master Plan'!B67</f>
        <v>6. Training &amp; Change</v>
      </c>
      <c r="C67" s="35" t="str">
        <f>'Master Plan'!E67</f>
        <v>Communications</v>
      </c>
      <c r="D67" s="35" t="str">
        <f>'Master Plan'!N67</f>
        <v>Not Started</v>
      </c>
      <c r="E67" s="20" t="str">
        <f>IF('Master Plan'!$G67=E$3,"R",IF('Master Plan'!$H67=E$3,"A",IF('Master Plan'!$I67=E$3,"C",IF('Master Plan'!$J67=E$3,"I",""))))</f>
        <v/>
      </c>
      <c r="F67" s="20" t="str">
        <f>IF('Master Plan'!$G67=F$3,"R",IF('Master Plan'!$H67=F$3,"A",IF('Master Plan'!$I67=F$3,"C",IF('Master Plan'!$J67=F$3,"I",""))))</f>
        <v>A</v>
      </c>
      <c r="G67" s="20" t="str">
        <f>IF('Master Plan'!$G67=G$3,"R",IF('Master Plan'!$H67=G$3,"A",IF('Master Plan'!$I67=G$3,"C",IF('Master Plan'!$J67=G$3,"I",""))))</f>
        <v/>
      </c>
      <c r="H67" s="20" t="str">
        <f>IF('Master Plan'!$G67=H$3,"R",IF('Master Plan'!$H67=H$3,"A",IF('Master Plan'!$I67=H$3,"C",IF('Master Plan'!$J67=H$3,"I",""))))</f>
        <v/>
      </c>
      <c r="I67" s="20" t="str">
        <f>IF('Master Plan'!$G67=I$3,"R",IF('Master Plan'!$H67=I$3,"A",IF('Master Plan'!$I67=I$3,"C",IF('Master Plan'!$J67=I$3,"I",""))))</f>
        <v/>
      </c>
      <c r="J67" s="20" t="str">
        <f>IF('Master Plan'!$G67=J$3,"R",IF('Master Plan'!$H67=J$3,"A",IF('Master Plan'!$I67=J$3,"C",IF('Master Plan'!$J67=J$3,"I",""))))</f>
        <v/>
      </c>
      <c r="K67" s="20" t="str">
        <f>IF('Master Plan'!$G67=K$3,"R",IF('Master Plan'!$H67=K$3,"A",IF('Master Plan'!$I67=K$3,"C",IF('Master Plan'!$J67=K$3,"I",""))))</f>
        <v/>
      </c>
      <c r="L67" s="20" t="str">
        <f>IF('Master Plan'!$G67=L$3,"R",IF('Master Plan'!$H67=L$3,"A",IF('Master Plan'!$I67=L$3,"C",IF('Master Plan'!$J67=L$3,"I",""))))</f>
        <v/>
      </c>
      <c r="M67" s="20" t="str">
        <f>IF('Master Plan'!$G67=M$3,"R",IF('Master Plan'!$H67=M$3,"A",IF('Master Plan'!$I67=M$3,"C",IF('Master Plan'!$J67=M$3,"I",""))))</f>
        <v/>
      </c>
      <c r="N67" s="20" t="str">
        <f>IF('Master Plan'!$G67=N$3,"R",IF('Master Plan'!$H67=N$3,"A",IF('Master Plan'!$I67=N$3,"C",IF('Master Plan'!$J67=N$3,"I",""))))</f>
        <v/>
      </c>
      <c r="O67" s="20" t="str">
        <f>IF('Master Plan'!$G67=O$3,"R",IF('Master Plan'!$H67=O$3,"A",IF('Master Plan'!$I67=O$3,"C",IF('Master Plan'!$J67=O$3,"I",""))))</f>
        <v/>
      </c>
      <c r="P67" s="20" t="str">
        <f>IF('Master Plan'!$G67=P$3,"R",IF('Master Plan'!$H67=P$3,"A",IF('Master Plan'!$I67=P$3,"C",IF('Master Plan'!$J67=P$3,"I",""))))</f>
        <v>C</v>
      </c>
      <c r="Q67" s="20" t="str">
        <f>IF('Master Plan'!$G67=Q$3,"R",IF('Master Plan'!$H67=Q$3,"A",IF('Master Plan'!$I67=Q$3,"C",IF('Master Plan'!$J67=Q$3,"I",""))))</f>
        <v>I</v>
      </c>
      <c r="R67" s="20" t="str">
        <f>IF('Master Plan'!$G67=R$3,"R",IF('Master Plan'!$H67=R$3,"A",IF('Master Plan'!$I67=R$3,"C",IF('Master Plan'!$J67=R$3,"I",""))))</f>
        <v/>
      </c>
      <c r="S67" s="20" t="str">
        <f>IF('Master Plan'!$G67=S$3,"R",IF('Master Plan'!$H67=S$3,"A",IF('Master Plan'!$I67=S$3,"C",IF('Master Plan'!$J67=S$3,"I",""))))</f>
        <v/>
      </c>
      <c r="T67" s="20" t="str">
        <f>IF('Master Plan'!$G67=T$3,"R",IF('Master Plan'!$H67=T$3,"A",IF('Master Plan'!$I67=T$3,"C",IF('Master Plan'!$J67=T$3,"I",""))))</f>
        <v/>
      </c>
      <c r="U67" s="20" t="str">
        <f>IF('Master Plan'!$G67=U$3,"R",IF('Master Plan'!$H67=U$3,"A",IF('Master Plan'!$I67=U$3,"C",IF('Master Plan'!$J67=U$3,"I",""))))</f>
        <v>R</v>
      </c>
      <c r="V67" s="20" t="str">
        <f>IF('Master Plan'!$G67=V$3,"R",IF('Master Plan'!$H67=V$3,"A",IF('Master Plan'!$I67=V$3,"C",IF('Master Plan'!$J67=V$3,"I",""))))</f>
        <v/>
      </c>
      <c r="W67" s="20" t="str">
        <f>IF('Master Plan'!$G67=W$3,"R",IF('Master Plan'!$H67=W$3,"A",IF('Master Plan'!$I67=W$3,"C",IF('Master Plan'!$J67=W$3,"I",""))))</f>
        <v/>
      </c>
      <c r="X67" s="20" t="str">
        <f>IF('Master Plan'!$G67=X$3,"R",IF('Master Plan'!$H67=X$3,"A",IF('Master Plan'!$I67=X$3,"C",IF('Master Plan'!$J67=X$3,"I",""))))</f>
        <v/>
      </c>
      <c r="Y67" s="20">
        <f t="shared" si="4"/>
        <v>1</v>
      </c>
      <c r="Z67" s="20">
        <f t="shared" si="5"/>
        <v>1</v>
      </c>
      <c r="AA67" s="20">
        <f t="shared" si="6"/>
        <v>1</v>
      </c>
      <c r="AB67" s="20">
        <f t="shared" si="7"/>
        <v>1</v>
      </c>
    </row>
    <row r="68" spans="1:28" ht="15" customHeight="1" x14ac:dyDescent="0.2">
      <c r="A68" s="35" t="str">
        <f>'Master Plan'!A68</f>
        <v>T-064</v>
      </c>
      <c r="B68" s="35" t="str">
        <f>'Master Plan'!B68</f>
        <v>6. Training &amp; Change</v>
      </c>
      <c r="C68" s="35" t="str">
        <f>'Master Plan'!E68</f>
        <v>Operational Dress Rehearsal</v>
      </c>
      <c r="D68" s="35" t="str">
        <f>'Master Plan'!N68</f>
        <v>Not Started</v>
      </c>
      <c r="E68" s="20" t="str">
        <f>IF('Master Plan'!$G68=E$3,"R",IF('Master Plan'!$H68=E$3,"A",IF('Master Plan'!$I68=E$3,"C",IF('Master Plan'!$J68=E$3,"I",""))))</f>
        <v/>
      </c>
      <c r="F68" s="20" t="str">
        <f>IF('Master Plan'!$G68=F$3,"R",IF('Master Plan'!$H68=F$3,"A",IF('Master Plan'!$I68=F$3,"C",IF('Master Plan'!$J68=F$3,"I",""))))</f>
        <v/>
      </c>
      <c r="G68" s="20" t="str">
        <f>IF('Master Plan'!$G68=G$3,"R",IF('Master Plan'!$H68=G$3,"A",IF('Master Plan'!$I68=G$3,"C",IF('Master Plan'!$J68=G$3,"I",""))))</f>
        <v/>
      </c>
      <c r="H68" s="20" t="str">
        <f>IF('Master Plan'!$G68=H$3,"R",IF('Master Plan'!$H68=H$3,"A",IF('Master Plan'!$I68=H$3,"C",IF('Master Plan'!$J68=H$3,"I",""))))</f>
        <v/>
      </c>
      <c r="I68" s="20" t="str">
        <f>IF('Master Plan'!$G68=I$3,"R",IF('Master Plan'!$H68=I$3,"A",IF('Master Plan'!$I68=I$3,"C",IF('Master Plan'!$J68=I$3,"I",""))))</f>
        <v>I</v>
      </c>
      <c r="J68" s="20" t="str">
        <f>IF('Master Plan'!$G68=J$3,"R",IF('Master Plan'!$H68=J$3,"A",IF('Master Plan'!$I68=J$3,"C",IF('Master Plan'!$J68=J$3,"I",""))))</f>
        <v/>
      </c>
      <c r="K68" s="20" t="str">
        <f>IF('Master Plan'!$G68=K$3,"R",IF('Master Plan'!$H68=K$3,"A",IF('Master Plan'!$I68=K$3,"C",IF('Master Plan'!$J68=K$3,"I",""))))</f>
        <v>C</v>
      </c>
      <c r="L68" s="20" t="str">
        <f>IF('Master Plan'!$G68=L$3,"R",IF('Master Plan'!$H68=L$3,"A",IF('Master Plan'!$I68=L$3,"C",IF('Master Plan'!$J68=L$3,"I",""))))</f>
        <v/>
      </c>
      <c r="M68" s="20" t="str">
        <f>IF('Master Plan'!$G68=M$3,"R",IF('Master Plan'!$H68=M$3,"A",IF('Master Plan'!$I68=M$3,"C",IF('Master Plan'!$J68=M$3,"I",""))))</f>
        <v/>
      </c>
      <c r="N68" s="20" t="str">
        <f>IF('Master Plan'!$G68=N$3,"R",IF('Master Plan'!$H68=N$3,"A",IF('Master Plan'!$I68=N$3,"C",IF('Master Plan'!$J68=N$3,"I",""))))</f>
        <v/>
      </c>
      <c r="O68" s="20" t="str">
        <f>IF('Master Plan'!$G68=O$3,"R",IF('Master Plan'!$H68=O$3,"A",IF('Master Plan'!$I68=O$3,"C",IF('Master Plan'!$J68=O$3,"I",""))))</f>
        <v>R</v>
      </c>
      <c r="P68" s="20" t="str">
        <f>IF('Master Plan'!$G68=P$3,"R",IF('Master Plan'!$H68=P$3,"A",IF('Master Plan'!$I68=P$3,"C",IF('Master Plan'!$J68=P$3,"I",""))))</f>
        <v/>
      </c>
      <c r="Q68" s="20" t="str">
        <f>IF('Master Plan'!$G68=Q$3,"R",IF('Master Plan'!$H68=Q$3,"A",IF('Master Plan'!$I68=Q$3,"C",IF('Master Plan'!$J68=Q$3,"I",""))))</f>
        <v/>
      </c>
      <c r="R68" s="20" t="str">
        <f>IF('Master Plan'!$G68=R$3,"R",IF('Master Plan'!$H68=R$3,"A",IF('Master Plan'!$I68=R$3,"C",IF('Master Plan'!$J68=R$3,"I",""))))</f>
        <v/>
      </c>
      <c r="S68" s="20" t="str">
        <f>IF('Master Plan'!$G68=S$3,"R",IF('Master Plan'!$H68=S$3,"A",IF('Master Plan'!$I68=S$3,"C",IF('Master Plan'!$J68=S$3,"I",""))))</f>
        <v/>
      </c>
      <c r="T68" s="20" t="str">
        <f>IF('Master Plan'!$G68=T$3,"R",IF('Master Plan'!$H68=T$3,"A",IF('Master Plan'!$I68=T$3,"C",IF('Master Plan'!$J68=T$3,"I",""))))</f>
        <v/>
      </c>
      <c r="U68" s="20" t="str">
        <f>IF('Master Plan'!$G68=U$3,"R",IF('Master Plan'!$H68=U$3,"A",IF('Master Plan'!$I68=U$3,"C",IF('Master Plan'!$J68=U$3,"I",""))))</f>
        <v/>
      </c>
      <c r="V68" s="20" t="str">
        <f>IF('Master Plan'!$G68=V$3,"R",IF('Master Plan'!$H68=V$3,"A",IF('Master Plan'!$I68=V$3,"C",IF('Master Plan'!$J68=V$3,"I",""))))</f>
        <v/>
      </c>
      <c r="W68" s="20" t="str">
        <f>IF('Master Plan'!$G68=W$3,"R",IF('Master Plan'!$H68=W$3,"A",IF('Master Plan'!$I68=W$3,"C",IF('Master Plan'!$J68=W$3,"I",""))))</f>
        <v/>
      </c>
      <c r="X68" s="20" t="str">
        <f>IF('Master Plan'!$G68=X$3,"R",IF('Master Plan'!$H68=X$3,"A",IF('Master Plan'!$I68=X$3,"C",IF('Master Plan'!$J68=X$3,"I",""))))</f>
        <v/>
      </c>
      <c r="Y68" s="20">
        <f t="shared" si="4"/>
        <v>1</v>
      </c>
      <c r="Z68" s="20">
        <f t="shared" si="5"/>
        <v>0</v>
      </c>
      <c r="AA68" s="20">
        <f t="shared" si="6"/>
        <v>1</v>
      </c>
      <c r="AB68" s="20">
        <f t="shared" si="7"/>
        <v>1</v>
      </c>
    </row>
    <row r="69" spans="1:28" ht="15" customHeight="1" x14ac:dyDescent="0.2">
      <c r="A69" s="35" t="str">
        <f>'Master Plan'!A69</f>
        <v>T-065</v>
      </c>
      <c r="B69" s="35" t="str">
        <f>'Master Plan'!B69</f>
        <v>6. Training &amp; Change</v>
      </c>
      <c r="C69" s="35" t="str">
        <f>'Master Plan'!E69</f>
        <v>Gate 6 Review</v>
      </c>
      <c r="D69" s="35" t="str">
        <f>'Master Plan'!N69</f>
        <v>Not Started</v>
      </c>
      <c r="E69" s="20" t="str">
        <f>IF('Master Plan'!$G69=E$3,"R",IF('Master Plan'!$H69=E$3,"A",IF('Master Plan'!$I69=E$3,"C",IF('Master Plan'!$J69=E$3,"I",""))))</f>
        <v>A</v>
      </c>
      <c r="F69" s="20" t="str">
        <f>IF('Master Plan'!$G69=F$3,"R",IF('Master Plan'!$H69=F$3,"A",IF('Master Plan'!$I69=F$3,"C",IF('Master Plan'!$J69=F$3,"I",""))))</f>
        <v>R</v>
      </c>
      <c r="G69" s="20" t="str">
        <f>IF('Master Plan'!$G69=G$3,"R",IF('Master Plan'!$H69=G$3,"A",IF('Master Plan'!$I69=G$3,"C",IF('Master Plan'!$J69=G$3,"I",""))))</f>
        <v/>
      </c>
      <c r="H69" s="20" t="str">
        <f>IF('Master Plan'!$G69=H$3,"R",IF('Master Plan'!$H69=H$3,"A",IF('Master Plan'!$I69=H$3,"C",IF('Master Plan'!$J69=H$3,"I",""))))</f>
        <v/>
      </c>
      <c r="I69" s="20" t="str">
        <f>IF('Master Plan'!$G69=I$3,"R",IF('Master Plan'!$H69=I$3,"A",IF('Master Plan'!$I69=I$3,"C",IF('Master Plan'!$J69=I$3,"I",""))))</f>
        <v/>
      </c>
      <c r="J69" s="20" t="str">
        <f>IF('Master Plan'!$G69=J$3,"R",IF('Master Plan'!$H69=J$3,"A",IF('Master Plan'!$I69=J$3,"C",IF('Master Plan'!$J69=J$3,"I",""))))</f>
        <v/>
      </c>
      <c r="K69" s="20" t="str">
        <f>IF('Master Plan'!$G69=K$3,"R",IF('Master Plan'!$H69=K$3,"A",IF('Master Plan'!$I69=K$3,"C",IF('Master Plan'!$J69=K$3,"I",""))))</f>
        <v/>
      </c>
      <c r="L69" s="20" t="str">
        <f>IF('Master Plan'!$G69=L$3,"R",IF('Master Plan'!$H69=L$3,"A",IF('Master Plan'!$I69=L$3,"C",IF('Master Plan'!$J69=L$3,"I",""))))</f>
        <v/>
      </c>
      <c r="M69" s="20" t="str">
        <f>IF('Master Plan'!$G69=M$3,"R",IF('Master Plan'!$H69=M$3,"A",IF('Master Plan'!$I69=M$3,"C",IF('Master Plan'!$J69=M$3,"I",""))))</f>
        <v/>
      </c>
      <c r="N69" s="20" t="str">
        <f>IF('Master Plan'!$G69=N$3,"R",IF('Master Plan'!$H69=N$3,"A",IF('Master Plan'!$I69=N$3,"C",IF('Master Plan'!$J69=N$3,"I",""))))</f>
        <v/>
      </c>
      <c r="O69" s="20" t="str">
        <f>IF('Master Plan'!$G69=O$3,"R",IF('Master Plan'!$H69=O$3,"A",IF('Master Plan'!$I69=O$3,"C",IF('Master Plan'!$J69=O$3,"I",""))))</f>
        <v>I</v>
      </c>
      <c r="P69" s="20" t="str">
        <f>IF('Master Plan'!$G69=P$3,"R",IF('Master Plan'!$H69=P$3,"A",IF('Master Plan'!$I69=P$3,"C",IF('Master Plan'!$J69=P$3,"I",""))))</f>
        <v/>
      </c>
      <c r="Q69" s="20" t="str">
        <f>IF('Master Plan'!$G69=Q$3,"R",IF('Master Plan'!$H69=Q$3,"A",IF('Master Plan'!$I69=Q$3,"C",IF('Master Plan'!$J69=Q$3,"I",""))))</f>
        <v/>
      </c>
      <c r="R69" s="20" t="str">
        <f>IF('Master Plan'!$G69=R$3,"R",IF('Master Plan'!$H69=R$3,"A",IF('Master Plan'!$I69=R$3,"C",IF('Master Plan'!$J69=R$3,"I",""))))</f>
        <v/>
      </c>
      <c r="S69" s="20" t="str">
        <f>IF('Master Plan'!$G69=S$3,"R",IF('Master Plan'!$H69=S$3,"A",IF('Master Plan'!$I69=S$3,"C",IF('Master Plan'!$J69=S$3,"I",""))))</f>
        <v/>
      </c>
      <c r="T69" s="20" t="str">
        <f>IF('Master Plan'!$G69=T$3,"R",IF('Master Plan'!$H69=T$3,"A",IF('Master Plan'!$I69=T$3,"C",IF('Master Plan'!$J69=T$3,"I",""))))</f>
        <v/>
      </c>
      <c r="U69" s="20" t="str">
        <f>IF('Master Plan'!$G69=U$3,"R",IF('Master Plan'!$H69=U$3,"A",IF('Master Plan'!$I69=U$3,"C",IF('Master Plan'!$J69=U$3,"I",""))))</f>
        <v>C</v>
      </c>
      <c r="V69" s="20" t="str">
        <f>IF('Master Plan'!$G69=V$3,"R",IF('Master Plan'!$H69=V$3,"A",IF('Master Plan'!$I69=V$3,"C",IF('Master Plan'!$J69=V$3,"I",""))))</f>
        <v/>
      </c>
      <c r="W69" s="20" t="str">
        <f>IF('Master Plan'!$G69=W$3,"R",IF('Master Plan'!$H69=W$3,"A",IF('Master Plan'!$I69=W$3,"C",IF('Master Plan'!$J69=W$3,"I",""))))</f>
        <v/>
      </c>
      <c r="X69" s="20" t="str">
        <f>IF('Master Plan'!$G69=X$3,"R",IF('Master Plan'!$H69=X$3,"A",IF('Master Plan'!$I69=X$3,"C",IF('Master Plan'!$J69=X$3,"I",""))))</f>
        <v/>
      </c>
      <c r="Y69" s="20">
        <f t="shared" ref="Y69:Y85" si="8">COUNTIF(E69:X69,"R")</f>
        <v>1</v>
      </c>
      <c r="Z69" s="20">
        <f t="shared" ref="Z69:Z85" si="9">COUNTIF(E69:X69,"A")</f>
        <v>1</v>
      </c>
      <c r="AA69" s="20">
        <f t="shared" ref="AA69:AA85" si="10">COUNTIF(E69:X69,"C")</f>
        <v>1</v>
      </c>
      <c r="AB69" s="20">
        <f t="shared" ref="AB69:AB85" si="11">COUNTIF(E69:X69,"I")</f>
        <v>1</v>
      </c>
    </row>
    <row r="70" spans="1:28" ht="15" customHeight="1" x14ac:dyDescent="0.2">
      <c r="A70" s="35" t="str">
        <f>'Master Plan'!A70</f>
        <v>T-066</v>
      </c>
      <c r="B70" s="35" t="str">
        <f>'Master Plan'!B70</f>
        <v>7. Cutover &amp; Go-Live</v>
      </c>
      <c r="C70" s="35" t="str">
        <f>'Master Plan'!E70</f>
        <v>Cutover Runbook</v>
      </c>
      <c r="D70" s="35" t="str">
        <f>'Master Plan'!N70</f>
        <v>Not Started</v>
      </c>
      <c r="E70" s="20" t="str">
        <f>IF('Master Plan'!$G70=E$3,"R",IF('Master Plan'!$H70=E$3,"A",IF('Master Plan'!$I70=E$3,"C",IF('Master Plan'!$J70=E$3,"I",""))))</f>
        <v/>
      </c>
      <c r="F70" s="20" t="str">
        <f>IF('Master Plan'!$G70=F$3,"R",IF('Master Plan'!$H70=F$3,"A",IF('Master Plan'!$I70=F$3,"C",IF('Master Plan'!$J70=F$3,"I",""))))</f>
        <v>A</v>
      </c>
      <c r="G70" s="20" t="str">
        <f>IF('Master Plan'!$G70=G$3,"R",IF('Master Plan'!$H70=G$3,"A",IF('Master Plan'!$I70=G$3,"C",IF('Master Plan'!$J70=G$3,"I",""))))</f>
        <v/>
      </c>
      <c r="H70" s="20" t="str">
        <f>IF('Master Plan'!$G70=H$3,"R",IF('Master Plan'!$H70=H$3,"A",IF('Master Plan'!$I70=H$3,"C",IF('Master Plan'!$J70=H$3,"I",""))))</f>
        <v/>
      </c>
      <c r="I70" s="20" t="str">
        <f>IF('Master Plan'!$G70=I$3,"R",IF('Master Plan'!$H70=I$3,"A",IF('Master Plan'!$I70=I$3,"C",IF('Master Plan'!$J70=I$3,"I",""))))</f>
        <v/>
      </c>
      <c r="J70" s="20" t="str">
        <f>IF('Master Plan'!$G70=J$3,"R",IF('Master Plan'!$H70=J$3,"A",IF('Master Plan'!$I70=J$3,"C",IF('Master Plan'!$J70=J$3,"I",""))))</f>
        <v>C</v>
      </c>
      <c r="K70" s="20" t="str">
        <f>IF('Master Plan'!$G70=K$3,"R",IF('Master Plan'!$H70=K$3,"A",IF('Master Plan'!$I70=K$3,"C",IF('Master Plan'!$J70=K$3,"I",""))))</f>
        <v/>
      </c>
      <c r="L70" s="20" t="str">
        <f>IF('Master Plan'!$G70=L$3,"R",IF('Master Plan'!$H70=L$3,"A",IF('Master Plan'!$I70=L$3,"C",IF('Master Plan'!$J70=L$3,"I",""))))</f>
        <v/>
      </c>
      <c r="M70" s="20" t="str">
        <f>IF('Master Plan'!$G70=M$3,"R",IF('Master Plan'!$H70=M$3,"A",IF('Master Plan'!$I70=M$3,"C",IF('Master Plan'!$J70=M$3,"I",""))))</f>
        <v/>
      </c>
      <c r="N70" s="20" t="str">
        <f>IF('Master Plan'!$G70=N$3,"R",IF('Master Plan'!$H70=N$3,"A",IF('Master Plan'!$I70=N$3,"C",IF('Master Plan'!$J70=N$3,"I",""))))</f>
        <v/>
      </c>
      <c r="O70" s="20" t="str">
        <f>IF('Master Plan'!$G70=O$3,"R",IF('Master Plan'!$H70=O$3,"A",IF('Master Plan'!$I70=O$3,"C",IF('Master Plan'!$J70=O$3,"I",""))))</f>
        <v>I</v>
      </c>
      <c r="P70" s="20" t="str">
        <f>IF('Master Plan'!$G70=P$3,"R",IF('Master Plan'!$H70=P$3,"A",IF('Master Plan'!$I70=P$3,"C",IF('Master Plan'!$J70=P$3,"I",""))))</f>
        <v/>
      </c>
      <c r="Q70" s="20" t="str">
        <f>IF('Master Plan'!$G70=Q$3,"R",IF('Master Plan'!$H70=Q$3,"A",IF('Master Plan'!$I70=Q$3,"C",IF('Master Plan'!$J70=Q$3,"I",""))))</f>
        <v/>
      </c>
      <c r="R70" s="20" t="str">
        <f>IF('Master Plan'!$G70=R$3,"R",IF('Master Plan'!$H70=R$3,"A",IF('Master Plan'!$I70=R$3,"C",IF('Master Plan'!$J70=R$3,"I",""))))</f>
        <v/>
      </c>
      <c r="S70" s="20" t="str">
        <f>IF('Master Plan'!$G70=S$3,"R",IF('Master Plan'!$H70=S$3,"A",IF('Master Plan'!$I70=S$3,"C",IF('Master Plan'!$J70=S$3,"I",""))))</f>
        <v/>
      </c>
      <c r="T70" s="20" t="str">
        <f>IF('Master Plan'!$G70=T$3,"R",IF('Master Plan'!$H70=T$3,"A",IF('Master Plan'!$I70=T$3,"C",IF('Master Plan'!$J70=T$3,"I",""))))</f>
        <v/>
      </c>
      <c r="U70" s="20" t="str">
        <f>IF('Master Plan'!$G70=U$3,"R",IF('Master Plan'!$H70=U$3,"A",IF('Master Plan'!$I70=U$3,"C",IF('Master Plan'!$J70=U$3,"I",""))))</f>
        <v/>
      </c>
      <c r="V70" s="20" t="str">
        <f>IF('Master Plan'!$G70=V$3,"R",IF('Master Plan'!$H70=V$3,"A",IF('Master Plan'!$I70=V$3,"C",IF('Master Plan'!$J70=V$3,"I",""))))</f>
        <v/>
      </c>
      <c r="W70" s="20" t="str">
        <f>IF('Master Plan'!$G70=W$3,"R",IF('Master Plan'!$H70=W$3,"A",IF('Master Plan'!$I70=W$3,"C",IF('Master Plan'!$J70=W$3,"I",""))))</f>
        <v>R</v>
      </c>
      <c r="X70" s="20" t="str">
        <f>IF('Master Plan'!$G70=X$3,"R",IF('Master Plan'!$H70=X$3,"A",IF('Master Plan'!$I70=X$3,"C",IF('Master Plan'!$J70=X$3,"I",""))))</f>
        <v/>
      </c>
      <c r="Y70" s="20">
        <f t="shared" si="8"/>
        <v>1</v>
      </c>
      <c r="Z70" s="20">
        <f t="shared" si="9"/>
        <v>1</v>
      </c>
      <c r="AA70" s="20">
        <f t="shared" si="10"/>
        <v>1</v>
      </c>
      <c r="AB70" s="20">
        <f t="shared" si="11"/>
        <v>1</v>
      </c>
    </row>
    <row r="71" spans="1:28" ht="15" customHeight="1" x14ac:dyDescent="0.2">
      <c r="A71" s="35" t="str">
        <f>'Master Plan'!A71</f>
        <v>T-067</v>
      </c>
      <c r="B71" s="35" t="str">
        <f>'Master Plan'!B71</f>
        <v>7. Cutover &amp; Go-Live</v>
      </c>
      <c r="C71" s="35" t="str">
        <f>'Master Plan'!E71</f>
        <v>Cutover Rehearsal</v>
      </c>
      <c r="D71" s="35" t="str">
        <f>'Master Plan'!N71</f>
        <v>Not Started</v>
      </c>
      <c r="E71" s="20" t="str">
        <f>IF('Master Plan'!$G71=E$3,"R",IF('Master Plan'!$H71=E$3,"A",IF('Master Plan'!$I71=E$3,"C",IF('Master Plan'!$J71=E$3,"I",""))))</f>
        <v/>
      </c>
      <c r="F71" s="20" t="str">
        <f>IF('Master Plan'!$G71=F$3,"R",IF('Master Plan'!$H71=F$3,"A",IF('Master Plan'!$I71=F$3,"C",IF('Master Plan'!$J71=F$3,"I",""))))</f>
        <v/>
      </c>
      <c r="G71" s="20" t="str">
        <f>IF('Master Plan'!$G71=G$3,"R",IF('Master Plan'!$H71=G$3,"A",IF('Master Plan'!$I71=G$3,"C",IF('Master Plan'!$J71=G$3,"I",""))))</f>
        <v/>
      </c>
      <c r="H71" s="20" t="str">
        <f>IF('Master Plan'!$G71=H$3,"R",IF('Master Plan'!$H71=H$3,"A",IF('Master Plan'!$I71=H$3,"C",IF('Master Plan'!$J71=H$3,"I",""))))</f>
        <v/>
      </c>
      <c r="I71" s="20" t="str">
        <f>IF('Master Plan'!$G71=I$3,"R",IF('Master Plan'!$H71=I$3,"A",IF('Master Plan'!$I71=I$3,"C",IF('Master Plan'!$J71=I$3,"I",""))))</f>
        <v/>
      </c>
      <c r="J71" s="20" t="str">
        <f>IF('Master Plan'!$G71=J$3,"R",IF('Master Plan'!$H71=J$3,"A",IF('Master Plan'!$I71=J$3,"C",IF('Master Plan'!$J71=J$3,"I",""))))</f>
        <v/>
      </c>
      <c r="K71" s="20" t="str">
        <f>IF('Master Plan'!$G71=K$3,"R",IF('Master Plan'!$H71=K$3,"A",IF('Master Plan'!$I71=K$3,"C",IF('Master Plan'!$J71=K$3,"I",""))))</f>
        <v/>
      </c>
      <c r="L71" s="20" t="str">
        <f>IF('Master Plan'!$G71=L$3,"R",IF('Master Plan'!$H71=L$3,"A",IF('Master Plan'!$I71=L$3,"C",IF('Master Plan'!$J71=L$3,"I",""))))</f>
        <v>I</v>
      </c>
      <c r="M71" s="20" t="str">
        <f>IF('Master Plan'!$G71=M$3,"R",IF('Master Plan'!$H71=M$3,"A",IF('Master Plan'!$I71=M$3,"C",IF('Master Plan'!$J71=M$3,"I",""))))</f>
        <v>C</v>
      </c>
      <c r="N71" s="20" t="str">
        <f>IF('Master Plan'!$G71=N$3,"R",IF('Master Plan'!$H71=N$3,"A",IF('Master Plan'!$I71=N$3,"C",IF('Master Plan'!$J71=N$3,"I",""))))</f>
        <v/>
      </c>
      <c r="O71" s="20" t="str">
        <f>IF('Master Plan'!$G71=O$3,"R",IF('Master Plan'!$H71=O$3,"A",IF('Master Plan'!$I71=O$3,"C",IF('Master Plan'!$J71=O$3,"I",""))))</f>
        <v/>
      </c>
      <c r="P71" s="20" t="str">
        <f>IF('Master Plan'!$G71=P$3,"R",IF('Master Plan'!$H71=P$3,"A",IF('Master Plan'!$I71=P$3,"C",IF('Master Plan'!$J71=P$3,"I",""))))</f>
        <v/>
      </c>
      <c r="Q71" s="20" t="str">
        <f>IF('Master Plan'!$G71=Q$3,"R",IF('Master Plan'!$H71=Q$3,"A",IF('Master Plan'!$I71=Q$3,"C",IF('Master Plan'!$J71=Q$3,"I",""))))</f>
        <v/>
      </c>
      <c r="R71" s="20" t="str">
        <f>IF('Master Plan'!$G71=R$3,"R",IF('Master Plan'!$H71=R$3,"A",IF('Master Plan'!$I71=R$3,"C",IF('Master Plan'!$J71=R$3,"I",""))))</f>
        <v/>
      </c>
      <c r="S71" s="20" t="str">
        <f>IF('Master Plan'!$G71=S$3,"R",IF('Master Plan'!$H71=S$3,"A",IF('Master Plan'!$I71=S$3,"C",IF('Master Plan'!$J71=S$3,"I",""))))</f>
        <v/>
      </c>
      <c r="T71" s="20" t="str">
        <f>IF('Master Plan'!$G71=T$3,"R",IF('Master Plan'!$H71=T$3,"A",IF('Master Plan'!$I71=T$3,"C",IF('Master Plan'!$J71=T$3,"I",""))))</f>
        <v/>
      </c>
      <c r="U71" s="20" t="str">
        <f>IF('Master Plan'!$G71=U$3,"R",IF('Master Plan'!$H71=U$3,"A",IF('Master Plan'!$I71=U$3,"C",IF('Master Plan'!$J71=U$3,"I",""))))</f>
        <v/>
      </c>
      <c r="V71" s="20" t="str">
        <f>IF('Master Plan'!$G71=V$3,"R",IF('Master Plan'!$H71=V$3,"A",IF('Master Plan'!$I71=V$3,"C",IF('Master Plan'!$J71=V$3,"I",""))))</f>
        <v/>
      </c>
      <c r="W71" s="20" t="str">
        <f>IF('Master Plan'!$G71=W$3,"R",IF('Master Plan'!$H71=W$3,"A",IF('Master Plan'!$I71=W$3,"C",IF('Master Plan'!$J71=W$3,"I",""))))</f>
        <v>R</v>
      </c>
      <c r="X71" s="20" t="str">
        <f>IF('Master Plan'!$G71=X$3,"R",IF('Master Plan'!$H71=X$3,"A",IF('Master Plan'!$I71=X$3,"C",IF('Master Plan'!$J71=X$3,"I",""))))</f>
        <v/>
      </c>
      <c r="Y71" s="20">
        <f t="shared" si="8"/>
        <v>1</v>
      </c>
      <c r="Z71" s="20">
        <f t="shared" si="9"/>
        <v>0</v>
      </c>
      <c r="AA71" s="20">
        <f t="shared" si="10"/>
        <v>1</v>
      </c>
      <c r="AB71" s="20">
        <f t="shared" si="11"/>
        <v>1</v>
      </c>
    </row>
    <row r="72" spans="1:28" ht="15" customHeight="1" x14ac:dyDescent="0.2">
      <c r="A72" s="35" t="str">
        <f>'Master Plan'!A72</f>
        <v>T-068</v>
      </c>
      <c r="B72" s="35" t="str">
        <f>'Master Plan'!B72</f>
        <v>7. Cutover &amp; Go-Live</v>
      </c>
      <c r="C72" s="35" t="str">
        <f>'Master Plan'!E72</f>
        <v>Go / No-Go Readiness</v>
      </c>
      <c r="D72" s="35" t="str">
        <f>'Master Plan'!N72</f>
        <v>Not Started</v>
      </c>
      <c r="E72" s="20" t="str">
        <f>IF('Master Plan'!$G72=E$3,"R",IF('Master Plan'!$H72=E$3,"A",IF('Master Plan'!$I72=E$3,"C",IF('Master Plan'!$J72=E$3,"I",""))))</f>
        <v>A</v>
      </c>
      <c r="F72" s="20" t="str">
        <f>IF('Master Plan'!$G72=F$3,"R",IF('Master Plan'!$H72=F$3,"A",IF('Master Plan'!$I72=F$3,"C",IF('Master Plan'!$J72=F$3,"I",""))))</f>
        <v>C</v>
      </c>
      <c r="G72" s="20" t="str">
        <f>IF('Master Plan'!$G72=G$3,"R",IF('Master Plan'!$H72=G$3,"A",IF('Master Plan'!$I72=G$3,"C",IF('Master Plan'!$J72=G$3,"I",""))))</f>
        <v/>
      </c>
      <c r="H72" s="20" t="str">
        <f>IF('Master Plan'!$G72=H$3,"R",IF('Master Plan'!$H72=H$3,"A",IF('Master Plan'!$I72=H$3,"C",IF('Master Plan'!$J72=H$3,"I",""))))</f>
        <v/>
      </c>
      <c r="I72" s="20" t="str">
        <f>IF('Master Plan'!$G72=I$3,"R",IF('Master Plan'!$H72=I$3,"A",IF('Master Plan'!$I72=I$3,"C",IF('Master Plan'!$J72=I$3,"I",""))))</f>
        <v/>
      </c>
      <c r="J72" s="20" t="str">
        <f>IF('Master Plan'!$G72=J$3,"R",IF('Master Plan'!$H72=J$3,"A",IF('Master Plan'!$I72=J$3,"C",IF('Master Plan'!$J72=J$3,"I",""))))</f>
        <v/>
      </c>
      <c r="K72" s="20" t="str">
        <f>IF('Master Plan'!$G72=K$3,"R",IF('Master Plan'!$H72=K$3,"A",IF('Master Plan'!$I72=K$3,"C",IF('Master Plan'!$J72=K$3,"I",""))))</f>
        <v/>
      </c>
      <c r="L72" s="20" t="str">
        <f>IF('Master Plan'!$G72=L$3,"R",IF('Master Plan'!$H72=L$3,"A",IF('Master Plan'!$I72=L$3,"C",IF('Master Plan'!$J72=L$3,"I",""))))</f>
        <v/>
      </c>
      <c r="M72" s="20" t="str">
        <f>IF('Master Plan'!$G72=M$3,"R",IF('Master Plan'!$H72=M$3,"A",IF('Master Plan'!$I72=M$3,"C",IF('Master Plan'!$J72=M$3,"I",""))))</f>
        <v/>
      </c>
      <c r="N72" s="20" t="str">
        <f>IF('Master Plan'!$G72=N$3,"R",IF('Master Plan'!$H72=N$3,"A",IF('Master Plan'!$I72=N$3,"C",IF('Master Plan'!$J72=N$3,"I",""))))</f>
        <v/>
      </c>
      <c r="O72" s="20" t="str">
        <f>IF('Master Plan'!$G72=O$3,"R",IF('Master Plan'!$H72=O$3,"A",IF('Master Plan'!$I72=O$3,"C",IF('Master Plan'!$J72=O$3,"I",""))))</f>
        <v>I</v>
      </c>
      <c r="P72" s="20" t="str">
        <f>IF('Master Plan'!$G72=P$3,"R",IF('Master Plan'!$H72=P$3,"A",IF('Master Plan'!$I72=P$3,"C",IF('Master Plan'!$J72=P$3,"I",""))))</f>
        <v/>
      </c>
      <c r="Q72" s="20" t="str">
        <f>IF('Master Plan'!$G72=Q$3,"R",IF('Master Plan'!$H72=Q$3,"A",IF('Master Plan'!$I72=Q$3,"C",IF('Master Plan'!$J72=Q$3,"I",""))))</f>
        <v/>
      </c>
      <c r="R72" s="20" t="str">
        <f>IF('Master Plan'!$G72=R$3,"R",IF('Master Plan'!$H72=R$3,"A",IF('Master Plan'!$I72=R$3,"C",IF('Master Plan'!$J72=R$3,"I",""))))</f>
        <v/>
      </c>
      <c r="S72" s="20" t="str">
        <f>IF('Master Plan'!$G72=S$3,"R",IF('Master Plan'!$H72=S$3,"A",IF('Master Plan'!$I72=S$3,"C",IF('Master Plan'!$J72=S$3,"I",""))))</f>
        <v/>
      </c>
      <c r="T72" s="20" t="str">
        <f>IF('Master Plan'!$G72=T$3,"R",IF('Master Plan'!$H72=T$3,"A",IF('Master Plan'!$I72=T$3,"C",IF('Master Plan'!$J72=T$3,"I",""))))</f>
        <v/>
      </c>
      <c r="U72" s="20" t="str">
        <f>IF('Master Plan'!$G72=U$3,"R",IF('Master Plan'!$H72=U$3,"A",IF('Master Plan'!$I72=U$3,"C",IF('Master Plan'!$J72=U$3,"I",""))))</f>
        <v/>
      </c>
      <c r="V72" s="20" t="str">
        <f>IF('Master Plan'!$G72=V$3,"R",IF('Master Plan'!$H72=V$3,"A",IF('Master Plan'!$I72=V$3,"C",IF('Master Plan'!$J72=V$3,"I",""))))</f>
        <v/>
      </c>
      <c r="W72" s="20" t="str">
        <f>IF('Master Plan'!$G72=W$3,"R",IF('Master Plan'!$H72=W$3,"A",IF('Master Plan'!$I72=W$3,"C",IF('Master Plan'!$J72=W$3,"I",""))))</f>
        <v>R</v>
      </c>
      <c r="X72" s="20" t="str">
        <f>IF('Master Plan'!$G72=X$3,"R",IF('Master Plan'!$H72=X$3,"A",IF('Master Plan'!$I72=X$3,"C",IF('Master Plan'!$J72=X$3,"I",""))))</f>
        <v/>
      </c>
      <c r="Y72" s="20">
        <f t="shared" si="8"/>
        <v>1</v>
      </c>
      <c r="Z72" s="20">
        <f t="shared" si="9"/>
        <v>1</v>
      </c>
      <c r="AA72" s="20">
        <f t="shared" si="10"/>
        <v>1</v>
      </c>
      <c r="AB72" s="20">
        <f t="shared" si="11"/>
        <v>1</v>
      </c>
    </row>
    <row r="73" spans="1:28" ht="15" customHeight="1" x14ac:dyDescent="0.2">
      <c r="A73" s="35" t="str">
        <f>'Master Plan'!A73</f>
        <v>T-069</v>
      </c>
      <c r="B73" s="35" t="str">
        <f>'Master Plan'!B73</f>
        <v>7. Cutover &amp; Go-Live</v>
      </c>
      <c r="C73" s="35" t="str">
        <f>'Master Plan'!E73</f>
        <v>Production Data Load</v>
      </c>
      <c r="D73" s="35" t="str">
        <f>'Master Plan'!N73</f>
        <v>Not Started</v>
      </c>
      <c r="E73" s="20" t="str">
        <f>IF('Master Plan'!$G73=E$3,"R",IF('Master Plan'!$H73=E$3,"A",IF('Master Plan'!$I73=E$3,"C",IF('Master Plan'!$J73=E$3,"I",""))))</f>
        <v/>
      </c>
      <c r="F73" s="20" t="str">
        <f>IF('Master Plan'!$G73=F$3,"R",IF('Master Plan'!$H73=F$3,"A",IF('Master Plan'!$I73=F$3,"C",IF('Master Plan'!$J73=F$3,"I",""))))</f>
        <v/>
      </c>
      <c r="G73" s="20" t="str">
        <f>IF('Master Plan'!$G73=G$3,"R",IF('Master Plan'!$H73=G$3,"A",IF('Master Plan'!$I73=G$3,"C",IF('Master Plan'!$J73=G$3,"I",""))))</f>
        <v/>
      </c>
      <c r="H73" s="20" t="str">
        <f>IF('Master Plan'!$G73=H$3,"R",IF('Master Plan'!$H73=H$3,"A",IF('Master Plan'!$I73=H$3,"C",IF('Master Plan'!$J73=H$3,"I",""))))</f>
        <v/>
      </c>
      <c r="I73" s="20" t="str">
        <f>IF('Master Plan'!$G73=I$3,"R",IF('Master Plan'!$H73=I$3,"A",IF('Master Plan'!$I73=I$3,"C",IF('Master Plan'!$J73=I$3,"I",""))))</f>
        <v/>
      </c>
      <c r="J73" s="20" t="str">
        <f>IF('Master Plan'!$G73=J$3,"R",IF('Master Plan'!$H73=J$3,"A",IF('Master Plan'!$I73=J$3,"C",IF('Master Plan'!$J73=J$3,"I",""))))</f>
        <v>C</v>
      </c>
      <c r="K73" s="20" t="str">
        <f>IF('Master Plan'!$G73=K$3,"R",IF('Master Plan'!$H73=K$3,"A",IF('Master Plan'!$I73=K$3,"C",IF('Master Plan'!$J73=K$3,"I",""))))</f>
        <v/>
      </c>
      <c r="L73" s="20" t="str">
        <f>IF('Master Plan'!$G73=L$3,"R",IF('Master Plan'!$H73=L$3,"A",IF('Master Plan'!$I73=L$3,"C",IF('Master Plan'!$J73=L$3,"I",""))))</f>
        <v>A</v>
      </c>
      <c r="M73" s="20" t="str">
        <f>IF('Master Plan'!$G73=M$3,"R",IF('Master Plan'!$H73=M$3,"A",IF('Master Plan'!$I73=M$3,"C",IF('Master Plan'!$J73=M$3,"I",""))))</f>
        <v>R</v>
      </c>
      <c r="N73" s="20" t="str">
        <f>IF('Master Plan'!$G73=N$3,"R",IF('Master Plan'!$H73=N$3,"A",IF('Master Plan'!$I73=N$3,"C",IF('Master Plan'!$J73=N$3,"I",""))))</f>
        <v/>
      </c>
      <c r="O73" s="20" t="str">
        <f>IF('Master Plan'!$G73=O$3,"R",IF('Master Plan'!$H73=O$3,"A",IF('Master Plan'!$I73=O$3,"C",IF('Master Plan'!$J73=O$3,"I",""))))</f>
        <v>I</v>
      </c>
      <c r="P73" s="20" t="str">
        <f>IF('Master Plan'!$G73=P$3,"R",IF('Master Plan'!$H73=P$3,"A",IF('Master Plan'!$I73=P$3,"C",IF('Master Plan'!$J73=P$3,"I",""))))</f>
        <v/>
      </c>
      <c r="Q73" s="20" t="str">
        <f>IF('Master Plan'!$G73=Q$3,"R",IF('Master Plan'!$H73=Q$3,"A",IF('Master Plan'!$I73=Q$3,"C",IF('Master Plan'!$J73=Q$3,"I",""))))</f>
        <v/>
      </c>
      <c r="R73" s="20" t="str">
        <f>IF('Master Plan'!$G73=R$3,"R",IF('Master Plan'!$H73=R$3,"A",IF('Master Plan'!$I73=R$3,"C",IF('Master Plan'!$J73=R$3,"I",""))))</f>
        <v/>
      </c>
      <c r="S73" s="20" t="str">
        <f>IF('Master Plan'!$G73=S$3,"R",IF('Master Plan'!$H73=S$3,"A",IF('Master Plan'!$I73=S$3,"C",IF('Master Plan'!$J73=S$3,"I",""))))</f>
        <v/>
      </c>
      <c r="T73" s="20" t="str">
        <f>IF('Master Plan'!$G73=T$3,"R",IF('Master Plan'!$H73=T$3,"A",IF('Master Plan'!$I73=T$3,"C",IF('Master Plan'!$J73=T$3,"I",""))))</f>
        <v/>
      </c>
      <c r="U73" s="20" t="str">
        <f>IF('Master Plan'!$G73=U$3,"R",IF('Master Plan'!$H73=U$3,"A",IF('Master Plan'!$I73=U$3,"C",IF('Master Plan'!$J73=U$3,"I",""))))</f>
        <v/>
      </c>
      <c r="V73" s="20" t="str">
        <f>IF('Master Plan'!$G73=V$3,"R",IF('Master Plan'!$H73=V$3,"A",IF('Master Plan'!$I73=V$3,"C",IF('Master Plan'!$J73=V$3,"I",""))))</f>
        <v/>
      </c>
      <c r="W73" s="20" t="str">
        <f>IF('Master Plan'!$G73=W$3,"R",IF('Master Plan'!$H73=W$3,"A",IF('Master Plan'!$I73=W$3,"C",IF('Master Plan'!$J73=W$3,"I",""))))</f>
        <v/>
      </c>
      <c r="X73" s="20" t="str">
        <f>IF('Master Plan'!$G73=X$3,"R",IF('Master Plan'!$H73=X$3,"A",IF('Master Plan'!$I73=X$3,"C",IF('Master Plan'!$J73=X$3,"I",""))))</f>
        <v/>
      </c>
      <c r="Y73" s="20">
        <f t="shared" si="8"/>
        <v>1</v>
      </c>
      <c r="Z73" s="20">
        <f t="shared" si="9"/>
        <v>1</v>
      </c>
      <c r="AA73" s="20">
        <f t="shared" si="10"/>
        <v>1</v>
      </c>
      <c r="AB73" s="20">
        <f t="shared" si="11"/>
        <v>1</v>
      </c>
    </row>
    <row r="74" spans="1:28" ht="15" customHeight="1" x14ac:dyDescent="0.2">
      <c r="A74" s="35" t="str">
        <f>'Master Plan'!A74</f>
        <v>T-070</v>
      </c>
      <c r="B74" s="35" t="str">
        <f>'Master Plan'!B74</f>
        <v>7. Cutover &amp; Go-Live</v>
      </c>
      <c r="C74" s="35" t="str">
        <f>'Master Plan'!E74</f>
        <v>Production Code Deploy</v>
      </c>
      <c r="D74" s="35" t="str">
        <f>'Master Plan'!N74</f>
        <v>Not Started</v>
      </c>
      <c r="E74" s="20" t="str">
        <f>IF('Master Plan'!$G74=E$3,"R",IF('Master Plan'!$H74=E$3,"A",IF('Master Plan'!$I74=E$3,"C",IF('Master Plan'!$J74=E$3,"I",""))))</f>
        <v/>
      </c>
      <c r="F74" s="20" t="str">
        <f>IF('Master Plan'!$G74=F$3,"R",IF('Master Plan'!$H74=F$3,"A",IF('Master Plan'!$I74=F$3,"C",IF('Master Plan'!$J74=F$3,"I",""))))</f>
        <v/>
      </c>
      <c r="G74" s="20" t="str">
        <f>IF('Master Plan'!$G74=G$3,"R",IF('Master Plan'!$H74=G$3,"A",IF('Master Plan'!$I74=G$3,"C",IF('Master Plan'!$J74=G$3,"I",""))))</f>
        <v/>
      </c>
      <c r="H74" s="20" t="str">
        <f>IF('Master Plan'!$G74=H$3,"R",IF('Master Plan'!$H74=H$3,"A",IF('Master Plan'!$I74=H$3,"C",IF('Master Plan'!$J74=H$3,"I",""))))</f>
        <v/>
      </c>
      <c r="I74" s="20" t="str">
        <f>IF('Master Plan'!$G74=I$3,"R",IF('Master Plan'!$H74=I$3,"A",IF('Master Plan'!$I74=I$3,"C",IF('Master Plan'!$J74=I$3,"I",""))))</f>
        <v>A</v>
      </c>
      <c r="J74" s="20" t="str">
        <f>IF('Master Plan'!$G74=J$3,"R",IF('Master Plan'!$H74=J$3,"A",IF('Master Plan'!$I74=J$3,"C",IF('Master Plan'!$J74=J$3,"I",""))))</f>
        <v>R</v>
      </c>
      <c r="K74" s="20" t="str">
        <f>IF('Master Plan'!$G74=K$3,"R",IF('Master Plan'!$H74=K$3,"A",IF('Master Plan'!$I74=K$3,"C",IF('Master Plan'!$J74=K$3,"I",""))))</f>
        <v/>
      </c>
      <c r="L74" s="20" t="str">
        <f>IF('Master Plan'!$G74=L$3,"R",IF('Master Plan'!$H74=L$3,"A",IF('Master Plan'!$I74=L$3,"C",IF('Master Plan'!$J74=L$3,"I",""))))</f>
        <v/>
      </c>
      <c r="M74" s="20" t="str">
        <f>IF('Master Plan'!$G74=M$3,"R",IF('Master Plan'!$H74=M$3,"A",IF('Master Plan'!$I74=M$3,"C",IF('Master Plan'!$J74=M$3,"I",""))))</f>
        <v/>
      </c>
      <c r="N74" s="20" t="str">
        <f>IF('Master Plan'!$G74=N$3,"R",IF('Master Plan'!$H74=N$3,"A",IF('Master Plan'!$I74=N$3,"C",IF('Master Plan'!$J74=N$3,"I",""))))</f>
        <v/>
      </c>
      <c r="O74" s="20" t="str">
        <f>IF('Master Plan'!$G74=O$3,"R",IF('Master Plan'!$H74=O$3,"A",IF('Master Plan'!$I74=O$3,"C",IF('Master Plan'!$J74=O$3,"I",""))))</f>
        <v/>
      </c>
      <c r="P74" s="20" t="str">
        <f>IF('Master Plan'!$G74=P$3,"R",IF('Master Plan'!$H74=P$3,"A",IF('Master Plan'!$I74=P$3,"C",IF('Master Plan'!$J74=P$3,"I",""))))</f>
        <v/>
      </c>
      <c r="Q74" s="20" t="str">
        <f>IF('Master Plan'!$G74=Q$3,"R",IF('Master Plan'!$H74=Q$3,"A",IF('Master Plan'!$I74=Q$3,"C",IF('Master Plan'!$J74=Q$3,"I",""))))</f>
        <v/>
      </c>
      <c r="R74" s="20" t="str">
        <f>IF('Master Plan'!$G74=R$3,"R",IF('Master Plan'!$H74=R$3,"A",IF('Master Plan'!$I74=R$3,"C",IF('Master Plan'!$J74=R$3,"I",""))))</f>
        <v/>
      </c>
      <c r="S74" s="20" t="str">
        <f>IF('Master Plan'!$G74=S$3,"R",IF('Master Plan'!$H74=S$3,"A",IF('Master Plan'!$I74=S$3,"C",IF('Master Plan'!$J74=S$3,"I",""))))</f>
        <v/>
      </c>
      <c r="T74" s="20" t="str">
        <f>IF('Master Plan'!$G74=T$3,"R",IF('Master Plan'!$H74=T$3,"A",IF('Master Plan'!$I74=T$3,"C",IF('Master Plan'!$J74=T$3,"I",""))))</f>
        <v/>
      </c>
      <c r="U74" s="20" t="str">
        <f>IF('Master Plan'!$G74=U$3,"R",IF('Master Plan'!$H74=U$3,"A",IF('Master Plan'!$I74=U$3,"C",IF('Master Plan'!$J74=U$3,"I",""))))</f>
        <v/>
      </c>
      <c r="V74" s="20" t="str">
        <f>IF('Master Plan'!$G74=V$3,"R",IF('Master Plan'!$H74=V$3,"A",IF('Master Plan'!$I74=V$3,"C",IF('Master Plan'!$J74=V$3,"I",""))))</f>
        <v>C</v>
      </c>
      <c r="W74" s="20" t="str">
        <f>IF('Master Plan'!$G74=W$3,"R",IF('Master Plan'!$H74=W$3,"A",IF('Master Plan'!$I74=W$3,"C",IF('Master Plan'!$J74=W$3,"I",""))))</f>
        <v>I</v>
      </c>
      <c r="X74" s="20" t="str">
        <f>IF('Master Plan'!$G74=X$3,"R",IF('Master Plan'!$H74=X$3,"A",IF('Master Plan'!$I74=X$3,"C",IF('Master Plan'!$J74=X$3,"I",""))))</f>
        <v/>
      </c>
      <c r="Y74" s="20">
        <f t="shared" si="8"/>
        <v>1</v>
      </c>
      <c r="Z74" s="20">
        <f t="shared" si="9"/>
        <v>1</v>
      </c>
      <c r="AA74" s="20">
        <f t="shared" si="10"/>
        <v>1</v>
      </c>
      <c r="AB74" s="20">
        <f t="shared" si="11"/>
        <v>1</v>
      </c>
    </row>
    <row r="75" spans="1:28" ht="15" customHeight="1" x14ac:dyDescent="0.2">
      <c r="A75" s="35" t="str">
        <f>'Master Plan'!A75</f>
        <v>T-071</v>
      </c>
      <c r="B75" s="35" t="str">
        <f>'Master Plan'!B75</f>
        <v>7. Cutover &amp; Go-Live</v>
      </c>
      <c r="C75" s="35" t="str">
        <f>'Master Plan'!E75</f>
        <v>Command Center</v>
      </c>
      <c r="D75" s="35" t="str">
        <f>'Master Plan'!N75</f>
        <v>Not Started</v>
      </c>
      <c r="E75" s="20" t="str">
        <f>IF('Master Plan'!$G75=E$3,"R",IF('Master Plan'!$H75=E$3,"A",IF('Master Plan'!$I75=E$3,"C",IF('Master Plan'!$J75=E$3,"I",""))))</f>
        <v/>
      </c>
      <c r="F75" s="20" t="str">
        <f>IF('Master Plan'!$G75=F$3,"R",IF('Master Plan'!$H75=F$3,"A",IF('Master Plan'!$I75=F$3,"C",IF('Master Plan'!$J75=F$3,"I",""))))</f>
        <v>A</v>
      </c>
      <c r="G75" s="20" t="str">
        <f>IF('Master Plan'!$G75=G$3,"R",IF('Master Plan'!$H75=G$3,"A",IF('Master Plan'!$I75=G$3,"C",IF('Master Plan'!$J75=G$3,"I",""))))</f>
        <v/>
      </c>
      <c r="H75" s="20" t="str">
        <f>IF('Master Plan'!$G75=H$3,"R",IF('Master Plan'!$H75=H$3,"A",IF('Master Plan'!$I75=H$3,"C",IF('Master Plan'!$J75=H$3,"I",""))))</f>
        <v/>
      </c>
      <c r="I75" s="20" t="str">
        <f>IF('Master Plan'!$G75=I$3,"R",IF('Master Plan'!$H75=I$3,"A",IF('Master Plan'!$I75=I$3,"C",IF('Master Plan'!$J75=I$3,"I",""))))</f>
        <v/>
      </c>
      <c r="J75" s="20" t="str">
        <f>IF('Master Plan'!$G75=J$3,"R",IF('Master Plan'!$H75=J$3,"A",IF('Master Plan'!$I75=J$3,"C",IF('Master Plan'!$J75=J$3,"I",""))))</f>
        <v/>
      </c>
      <c r="K75" s="20" t="str">
        <f>IF('Master Plan'!$G75=K$3,"R",IF('Master Plan'!$H75=K$3,"A",IF('Master Plan'!$I75=K$3,"C",IF('Master Plan'!$J75=K$3,"I",""))))</f>
        <v/>
      </c>
      <c r="L75" s="20" t="str">
        <f>IF('Master Plan'!$G75=L$3,"R",IF('Master Plan'!$H75=L$3,"A",IF('Master Plan'!$I75=L$3,"C",IF('Master Plan'!$J75=L$3,"I",""))))</f>
        <v/>
      </c>
      <c r="M75" s="20" t="str">
        <f>IF('Master Plan'!$G75=M$3,"R",IF('Master Plan'!$H75=M$3,"A",IF('Master Plan'!$I75=M$3,"C",IF('Master Plan'!$J75=M$3,"I",""))))</f>
        <v/>
      </c>
      <c r="N75" s="20" t="str">
        <f>IF('Master Plan'!$G75=N$3,"R",IF('Master Plan'!$H75=N$3,"A",IF('Master Plan'!$I75=N$3,"C",IF('Master Plan'!$J75=N$3,"I",""))))</f>
        <v/>
      </c>
      <c r="O75" s="20" t="str">
        <f>IF('Master Plan'!$G75=O$3,"R",IF('Master Plan'!$H75=O$3,"A",IF('Master Plan'!$I75=O$3,"C",IF('Master Plan'!$J75=O$3,"I",""))))</f>
        <v>I</v>
      </c>
      <c r="P75" s="20" t="str">
        <f>IF('Master Plan'!$G75=P$3,"R",IF('Master Plan'!$H75=P$3,"A",IF('Master Plan'!$I75=P$3,"C",IF('Master Plan'!$J75=P$3,"I",""))))</f>
        <v/>
      </c>
      <c r="Q75" s="20" t="str">
        <f>IF('Master Plan'!$G75=Q$3,"R",IF('Master Plan'!$H75=Q$3,"A",IF('Master Plan'!$I75=Q$3,"C",IF('Master Plan'!$J75=Q$3,"I",""))))</f>
        <v/>
      </c>
      <c r="R75" s="20" t="str">
        <f>IF('Master Plan'!$G75=R$3,"R",IF('Master Plan'!$H75=R$3,"A",IF('Master Plan'!$I75=R$3,"C",IF('Master Plan'!$J75=R$3,"I",""))))</f>
        <v/>
      </c>
      <c r="S75" s="20" t="str">
        <f>IF('Master Plan'!$G75=S$3,"R",IF('Master Plan'!$H75=S$3,"A",IF('Master Plan'!$I75=S$3,"C",IF('Master Plan'!$J75=S$3,"I",""))))</f>
        <v/>
      </c>
      <c r="T75" s="20" t="str">
        <f>IF('Master Plan'!$G75=T$3,"R",IF('Master Plan'!$H75=T$3,"A",IF('Master Plan'!$I75=T$3,"C",IF('Master Plan'!$J75=T$3,"I",""))))</f>
        <v/>
      </c>
      <c r="U75" s="20" t="str">
        <f>IF('Master Plan'!$G75=U$3,"R",IF('Master Plan'!$H75=U$3,"A",IF('Master Plan'!$I75=U$3,"C",IF('Master Plan'!$J75=U$3,"I",""))))</f>
        <v/>
      </c>
      <c r="V75" s="20" t="str">
        <f>IF('Master Plan'!$G75=V$3,"R",IF('Master Plan'!$H75=V$3,"A",IF('Master Plan'!$I75=V$3,"C",IF('Master Plan'!$J75=V$3,"I",""))))</f>
        <v/>
      </c>
      <c r="W75" s="20" t="str">
        <f>IF('Master Plan'!$G75=W$3,"R",IF('Master Plan'!$H75=W$3,"A",IF('Master Plan'!$I75=W$3,"C",IF('Master Plan'!$J75=W$3,"I",""))))</f>
        <v>R</v>
      </c>
      <c r="X75" s="20" t="str">
        <f>IF('Master Plan'!$G75=X$3,"R",IF('Master Plan'!$H75=X$3,"A",IF('Master Plan'!$I75=X$3,"C",IF('Master Plan'!$J75=X$3,"I",""))))</f>
        <v>C</v>
      </c>
      <c r="Y75" s="20">
        <f t="shared" si="8"/>
        <v>1</v>
      </c>
      <c r="Z75" s="20">
        <f t="shared" si="9"/>
        <v>1</v>
      </c>
      <c r="AA75" s="20">
        <f t="shared" si="10"/>
        <v>1</v>
      </c>
      <c r="AB75" s="20">
        <f t="shared" si="11"/>
        <v>1</v>
      </c>
    </row>
    <row r="76" spans="1:28" ht="15" customHeight="1" x14ac:dyDescent="0.2">
      <c r="A76" s="35" t="str">
        <f>'Master Plan'!A76</f>
        <v>T-072</v>
      </c>
      <c r="B76" s="35" t="str">
        <f>'Master Plan'!B76</f>
        <v>7. Cutover &amp; Go-Live</v>
      </c>
      <c r="C76" s="35" t="str">
        <f>'Master Plan'!E76</f>
        <v>First Inbound Receipt</v>
      </c>
      <c r="D76" s="35" t="str">
        <f>'Master Plan'!N76</f>
        <v>Not Started</v>
      </c>
      <c r="E76" s="20" t="str">
        <f>IF('Master Plan'!$G76=E$3,"R",IF('Master Plan'!$H76=E$3,"A",IF('Master Plan'!$I76=E$3,"C",IF('Master Plan'!$J76=E$3,"I",""))))</f>
        <v/>
      </c>
      <c r="F76" s="20" t="str">
        <f>IF('Master Plan'!$G76=F$3,"R",IF('Master Plan'!$H76=F$3,"A",IF('Master Plan'!$I76=F$3,"C",IF('Master Plan'!$J76=F$3,"I",""))))</f>
        <v/>
      </c>
      <c r="G76" s="20" t="str">
        <f>IF('Master Plan'!$G76=G$3,"R",IF('Master Plan'!$H76=G$3,"A",IF('Master Plan'!$I76=G$3,"C",IF('Master Plan'!$J76=G$3,"I",""))))</f>
        <v/>
      </c>
      <c r="H76" s="20" t="str">
        <f>IF('Master Plan'!$G76=H$3,"R",IF('Master Plan'!$H76=H$3,"A",IF('Master Plan'!$I76=H$3,"C",IF('Master Plan'!$J76=H$3,"I",""))))</f>
        <v/>
      </c>
      <c r="I76" s="20" t="str">
        <f>IF('Master Plan'!$G76=I$3,"R",IF('Master Plan'!$H76=I$3,"A",IF('Master Plan'!$I76=I$3,"C",IF('Master Plan'!$J76=I$3,"I",""))))</f>
        <v>I</v>
      </c>
      <c r="J76" s="20" t="str">
        <f>IF('Master Plan'!$G76=J$3,"R",IF('Master Plan'!$H76=J$3,"A",IF('Master Plan'!$I76=J$3,"C",IF('Master Plan'!$J76=J$3,"I",""))))</f>
        <v/>
      </c>
      <c r="K76" s="20" t="str">
        <f>IF('Master Plan'!$G76=K$3,"R",IF('Master Plan'!$H76=K$3,"A",IF('Master Plan'!$I76=K$3,"C",IF('Master Plan'!$J76=K$3,"I",""))))</f>
        <v/>
      </c>
      <c r="L76" s="20" t="str">
        <f>IF('Master Plan'!$G76=L$3,"R",IF('Master Plan'!$H76=L$3,"A",IF('Master Plan'!$I76=L$3,"C",IF('Master Plan'!$J76=L$3,"I",""))))</f>
        <v/>
      </c>
      <c r="M76" s="20" t="str">
        <f>IF('Master Plan'!$G76=M$3,"R",IF('Master Plan'!$H76=M$3,"A",IF('Master Plan'!$I76=M$3,"C",IF('Master Plan'!$J76=M$3,"I",""))))</f>
        <v/>
      </c>
      <c r="N76" s="20" t="str">
        <f>IF('Master Plan'!$G76=N$3,"R",IF('Master Plan'!$H76=N$3,"A",IF('Master Plan'!$I76=N$3,"C",IF('Master Plan'!$J76=N$3,"I",""))))</f>
        <v/>
      </c>
      <c r="O76" s="20" t="str">
        <f>IF('Master Plan'!$G76=O$3,"R",IF('Master Plan'!$H76=O$3,"A",IF('Master Plan'!$I76=O$3,"C",IF('Master Plan'!$J76=O$3,"I",""))))</f>
        <v>R</v>
      </c>
      <c r="P76" s="20" t="str">
        <f>IF('Master Plan'!$G76=P$3,"R",IF('Master Plan'!$H76=P$3,"A",IF('Master Plan'!$I76=P$3,"C",IF('Master Plan'!$J76=P$3,"I",""))))</f>
        <v>C</v>
      </c>
      <c r="Q76" s="20" t="str">
        <f>IF('Master Plan'!$G76=Q$3,"R",IF('Master Plan'!$H76=Q$3,"A",IF('Master Plan'!$I76=Q$3,"C",IF('Master Plan'!$J76=Q$3,"I",""))))</f>
        <v/>
      </c>
      <c r="R76" s="20" t="str">
        <f>IF('Master Plan'!$G76=R$3,"R",IF('Master Plan'!$H76=R$3,"A",IF('Master Plan'!$I76=R$3,"C",IF('Master Plan'!$J76=R$3,"I",""))))</f>
        <v/>
      </c>
      <c r="S76" s="20" t="str">
        <f>IF('Master Plan'!$G76=S$3,"R",IF('Master Plan'!$H76=S$3,"A",IF('Master Plan'!$I76=S$3,"C",IF('Master Plan'!$J76=S$3,"I",""))))</f>
        <v/>
      </c>
      <c r="T76" s="20" t="str">
        <f>IF('Master Plan'!$G76=T$3,"R",IF('Master Plan'!$H76=T$3,"A",IF('Master Plan'!$I76=T$3,"C",IF('Master Plan'!$J76=T$3,"I",""))))</f>
        <v/>
      </c>
      <c r="U76" s="20" t="str">
        <f>IF('Master Plan'!$G76=U$3,"R",IF('Master Plan'!$H76=U$3,"A",IF('Master Plan'!$I76=U$3,"C",IF('Master Plan'!$J76=U$3,"I",""))))</f>
        <v/>
      </c>
      <c r="V76" s="20" t="str">
        <f>IF('Master Plan'!$G76=V$3,"R",IF('Master Plan'!$H76=V$3,"A",IF('Master Plan'!$I76=V$3,"C",IF('Master Plan'!$J76=V$3,"I",""))))</f>
        <v/>
      </c>
      <c r="W76" s="20" t="str">
        <f>IF('Master Plan'!$G76=W$3,"R",IF('Master Plan'!$H76=W$3,"A",IF('Master Plan'!$I76=W$3,"C",IF('Master Plan'!$J76=W$3,"I",""))))</f>
        <v/>
      </c>
      <c r="X76" s="20" t="str">
        <f>IF('Master Plan'!$G76=X$3,"R",IF('Master Plan'!$H76=X$3,"A",IF('Master Plan'!$I76=X$3,"C",IF('Master Plan'!$J76=X$3,"I",""))))</f>
        <v/>
      </c>
      <c r="Y76" s="20">
        <f t="shared" si="8"/>
        <v>1</v>
      </c>
      <c r="Z76" s="20">
        <f t="shared" si="9"/>
        <v>0</v>
      </c>
      <c r="AA76" s="20">
        <f t="shared" si="10"/>
        <v>1</v>
      </c>
      <c r="AB76" s="20">
        <f t="shared" si="11"/>
        <v>1</v>
      </c>
    </row>
    <row r="77" spans="1:28" ht="15" customHeight="1" x14ac:dyDescent="0.2">
      <c r="A77" s="35" t="str">
        <f>'Master Plan'!A77</f>
        <v>T-073</v>
      </c>
      <c r="B77" s="35" t="str">
        <f>'Master Plan'!B77</f>
        <v>7. Cutover &amp; Go-Live</v>
      </c>
      <c r="C77" s="35" t="str">
        <f>'Master Plan'!E77</f>
        <v>First Outbound Shipment</v>
      </c>
      <c r="D77" s="35" t="str">
        <f>'Master Plan'!N77</f>
        <v>Not Started</v>
      </c>
      <c r="E77" s="20" t="str">
        <f>IF('Master Plan'!$G77=E$3,"R",IF('Master Plan'!$H77=E$3,"A",IF('Master Plan'!$I77=E$3,"C",IF('Master Plan'!$J77=E$3,"I",""))))</f>
        <v/>
      </c>
      <c r="F77" s="20" t="str">
        <f>IF('Master Plan'!$G77=F$3,"R",IF('Master Plan'!$H77=F$3,"A",IF('Master Plan'!$I77=F$3,"C",IF('Master Plan'!$J77=F$3,"I",""))))</f>
        <v/>
      </c>
      <c r="G77" s="20" t="str">
        <f>IF('Master Plan'!$G77=G$3,"R",IF('Master Plan'!$H77=G$3,"A",IF('Master Plan'!$I77=G$3,"C",IF('Master Plan'!$J77=G$3,"I",""))))</f>
        <v/>
      </c>
      <c r="H77" s="20" t="str">
        <f>IF('Master Plan'!$G77=H$3,"R",IF('Master Plan'!$H77=H$3,"A",IF('Master Plan'!$I77=H$3,"C",IF('Master Plan'!$J77=H$3,"I",""))))</f>
        <v/>
      </c>
      <c r="I77" s="20" t="str">
        <f>IF('Master Plan'!$G77=I$3,"R",IF('Master Plan'!$H77=I$3,"A",IF('Master Plan'!$I77=I$3,"C",IF('Master Plan'!$J77=I$3,"I",""))))</f>
        <v>I</v>
      </c>
      <c r="J77" s="20" t="str">
        <f>IF('Master Plan'!$G77=J$3,"R",IF('Master Plan'!$H77=J$3,"A",IF('Master Plan'!$I77=J$3,"C",IF('Master Plan'!$J77=J$3,"I",""))))</f>
        <v/>
      </c>
      <c r="K77" s="20" t="str">
        <f>IF('Master Plan'!$G77=K$3,"R",IF('Master Plan'!$H77=K$3,"A",IF('Master Plan'!$I77=K$3,"C",IF('Master Plan'!$J77=K$3,"I",""))))</f>
        <v/>
      </c>
      <c r="L77" s="20" t="str">
        <f>IF('Master Plan'!$G77=L$3,"R",IF('Master Plan'!$H77=L$3,"A",IF('Master Plan'!$I77=L$3,"C",IF('Master Plan'!$J77=L$3,"I",""))))</f>
        <v/>
      </c>
      <c r="M77" s="20" t="str">
        <f>IF('Master Plan'!$G77=M$3,"R",IF('Master Plan'!$H77=M$3,"A",IF('Master Plan'!$I77=M$3,"C",IF('Master Plan'!$J77=M$3,"I",""))))</f>
        <v/>
      </c>
      <c r="N77" s="20" t="str">
        <f>IF('Master Plan'!$G77=N$3,"R",IF('Master Plan'!$H77=N$3,"A",IF('Master Plan'!$I77=N$3,"C",IF('Master Plan'!$J77=N$3,"I",""))))</f>
        <v/>
      </c>
      <c r="O77" s="20" t="str">
        <f>IF('Master Plan'!$G77=O$3,"R",IF('Master Plan'!$H77=O$3,"A",IF('Master Plan'!$I77=O$3,"C",IF('Master Plan'!$J77=O$3,"I",""))))</f>
        <v>R</v>
      </c>
      <c r="P77" s="20" t="str">
        <f>IF('Master Plan'!$G77=P$3,"R",IF('Master Plan'!$H77=P$3,"A",IF('Master Plan'!$I77=P$3,"C",IF('Master Plan'!$J77=P$3,"I",""))))</f>
        <v>C</v>
      </c>
      <c r="Q77" s="20" t="str">
        <f>IF('Master Plan'!$G77=Q$3,"R",IF('Master Plan'!$H77=Q$3,"A",IF('Master Plan'!$I77=Q$3,"C",IF('Master Plan'!$J77=Q$3,"I",""))))</f>
        <v/>
      </c>
      <c r="R77" s="20" t="str">
        <f>IF('Master Plan'!$G77=R$3,"R",IF('Master Plan'!$H77=R$3,"A",IF('Master Plan'!$I77=R$3,"C",IF('Master Plan'!$J77=R$3,"I",""))))</f>
        <v/>
      </c>
      <c r="S77" s="20" t="str">
        <f>IF('Master Plan'!$G77=S$3,"R",IF('Master Plan'!$H77=S$3,"A",IF('Master Plan'!$I77=S$3,"C",IF('Master Plan'!$J77=S$3,"I",""))))</f>
        <v/>
      </c>
      <c r="T77" s="20" t="str">
        <f>IF('Master Plan'!$G77=T$3,"R",IF('Master Plan'!$H77=T$3,"A",IF('Master Plan'!$I77=T$3,"C",IF('Master Plan'!$J77=T$3,"I",""))))</f>
        <v/>
      </c>
      <c r="U77" s="20" t="str">
        <f>IF('Master Plan'!$G77=U$3,"R",IF('Master Plan'!$H77=U$3,"A",IF('Master Plan'!$I77=U$3,"C",IF('Master Plan'!$J77=U$3,"I",""))))</f>
        <v/>
      </c>
      <c r="V77" s="20" t="str">
        <f>IF('Master Plan'!$G77=V$3,"R",IF('Master Plan'!$H77=V$3,"A",IF('Master Plan'!$I77=V$3,"C",IF('Master Plan'!$J77=V$3,"I",""))))</f>
        <v/>
      </c>
      <c r="W77" s="20" t="str">
        <f>IF('Master Plan'!$G77=W$3,"R",IF('Master Plan'!$H77=W$3,"A",IF('Master Plan'!$I77=W$3,"C",IF('Master Plan'!$J77=W$3,"I",""))))</f>
        <v/>
      </c>
      <c r="X77" s="20" t="str">
        <f>IF('Master Plan'!$G77=X$3,"R",IF('Master Plan'!$H77=X$3,"A",IF('Master Plan'!$I77=X$3,"C",IF('Master Plan'!$J77=X$3,"I",""))))</f>
        <v/>
      </c>
      <c r="Y77" s="20">
        <f t="shared" si="8"/>
        <v>1</v>
      </c>
      <c r="Z77" s="20">
        <f t="shared" si="9"/>
        <v>0</v>
      </c>
      <c r="AA77" s="20">
        <f t="shared" si="10"/>
        <v>1</v>
      </c>
      <c r="AB77" s="20">
        <f t="shared" si="11"/>
        <v>1</v>
      </c>
    </row>
    <row r="78" spans="1:28" ht="15" customHeight="1" x14ac:dyDescent="0.2">
      <c r="A78" s="35" t="str">
        <f>'Master Plan'!A78</f>
        <v>T-074</v>
      </c>
      <c r="B78" s="35" t="str">
        <f>'Master Plan'!B78</f>
        <v>7. Cutover &amp; Go-Live</v>
      </c>
      <c r="C78" s="35" t="str">
        <f>'Master Plan'!E78</f>
        <v>Gate 7 Review</v>
      </c>
      <c r="D78" s="35" t="str">
        <f>'Master Plan'!N78</f>
        <v>Not Started</v>
      </c>
      <c r="E78" s="20" t="str">
        <f>IF('Master Plan'!$G78=E$3,"R",IF('Master Plan'!$H78=E$3,"A",IF('Master Plan'!$I78=E$3,"C",IF('Master Plan'!$J78=E$3,"I",""))))</f>
        <v>A</v>
      </c>
      <c r="F78" s="20" t="str">
        <f>IF('Master Plan'!$G78=F$3,"R",IF('Master Plan'!$H78=F$3,"A",IF('Master Plan'!$I78=F$3,"C",IF('Master Plan'!$J78=F$3,"I",""))))</f>
        <v>R</v>
      </c>
      <c r="G78" s="20" t="str">
        <f>IF('Master Plan'!$G78=G$3,"R",IF('Master Plan'!$H78=G$3,"A",IF('Master Plan'!$I78=G$3,"C",IF('Master Plan'!$J78=G$3,"I",""))))</f>
        <v/>
      </c>
      <c r="H78" s="20" t="str">
        <f>IF('Master Plan'!$G78=H$3,"R",IF('Master Plan'!$H78=H$3,"A",IF('Master Plan'!$I78=H$3,"C",IF('Master Plan'!$J78=H$3,"I",""))))</f>
        <v/>
      </c>
      <c r="I78" s="20" t="str">
        <f>IF('Master Plan'!$G78=I$3,"R",IF('Master Plan'!$H78=I$3,"A",IF('Master Plan'!$I78=I$3,"C",IF('Master Plan'!$J78=I$3,"I",""))))</f>
        <v/>
      </c>
      <c r="J78" s="20" t="str">
        <f>IF('Master Plan'!$G78=J$3,"R",IF('Master Plan'!$H78=J$3,"A",IF('Master Plan'!$I78=J$3,"C",IF('Master Plan'!$J78=J$3,"I",""))))</f>
        <v/>
      </c>
      <c r="K78" s="20" t="str">
        <f>IF('Master Plan'!$G78=K$3,"R",IF('Master Plan'!$H78=K$3,"A",IF('Master Plan'!$I78=K$3,"C",IF('Master Plan'!$J78=K$3,"I",""))))</f>
        <v/>
      </c>
      <c r="L78" s="20" t="str">
        <f>IF('Master Plan'!$G78=L$3,"R",IF('Master Plan'!$H78=L$3,"A",IF('Master Plan'!$I78=L$3,"C",IF('Master Plan'!$J78=L$3,"I",""))))</f>
        <v/>
      </c>
      <c r="M78" s="20" t="str">
        <f>IF('Master Plan'!$G78=M$3,"R",IF('Master Plan'!$H78=M$3,"A",IF('Master Plan'!$I78=M$3,"C",IF('Master Plan'!$J78=M$3,"I",""))))</f>
        <v/>
      </c>
      <c r="N78" s="20" t="str">
        <f>IF('Master Plan'!$G78=N$3,"R",IF('Master Plan'!$H78=N$3,"A",IF('Master Plan'!$I78=N$3,"C",IF('Master Plan'!$J78=N$3,"I",""))))</f>
        <v/>
      </c>
      <c r="O78" s="20" t="str">
        <f>IF('Master Plan'!$G78=O$3,"R",IF('Master Plan'!$H78=O$3,"A",IF('Master Plan'!$I78=O$3,"C",IF('Master Plan'!$J78=O$3,"I",""))))</f>
        <v>I</v>
      </c>
      <c r="P78" s="20" t="str">
        <f>IF('Master Plan'!$G78=P$3,"R",IF('Master Plan'!$H78=P$3,"A",IF('Master Plan'!$I78=P$3,"C",IF('Master Plan'!$J78=P$3,"I",""))))</f>
        <v/>
      </c>
      <c r="Q78" s="20" t="str">
        <f>IF('Master Plan'!$G78=Q$3,"R",IF('Master Plan'!$H78=Q$3,"A",IF('Master Plan'!$I78=Q$3,"C",IF('Master Plan'!$J78=Q$3,"I",""))))</f>
        <v/>
      </c>
      <c r="R78" s="20" t="str">
        <f>IF('Master Plan'!$G78=R$3,"R",IF('Master Plan'!$H78=R$3,"A",IF('Master Plan'!$I78=R$3,"C",IF('Master Plan'!$J78=R$3,"I",""))))</f>
        <v/>
      </c>
      <c r="S78" s="20" t="str">
        <f>IF('Master Plan'!$G78=S$3,"R",IF('Master Plan'!$H78=S$3,"A",IF('Master Plan'!$I78=S$3,"C",IF('Master Plan'!$J78=S$3,"I",""))))</f>
        <v/>
      </c>
      <c r="T78" s="20" t="str">
        <f>IF('Master Plan'!$G78=T$3,"R",IF('Master Plan'!$H78=T$3,"A",IF('Master Plan'!$I78=T$3,"C",IF('Master Plan'!$J78=T$3,"I",""))))</f>
        <v/>
      </c>
      <c r="U78" s="20" t="str">
        <f>IF('Master Plan'!$G78=U$3,"R",IF('Master Plan'!$H78=U$3,"A",IF('Master Plan'!$I78=U$3,"C",IF('Master Plan'!$J78=U$3,"I",""))))</f>
        <v/>
      </c>
      <c r="V78" s="20" t="str">
        <f>IF('Master Plan'!$G78=V$3,"R",IF('Master Plan'!$H78=V$3,"A",IF('Master Plan'!$I78=V$3,"C",IF('Master Plan'!$J78=V$3,"I",""))))</f>
        <v/>
      </c>
      <c r="W78" s="20" t="str">
        <f>IF('Master Plan'!$G78=W$3,"R",IF('Master Plan'!$H78=W$3,"A",IF('Master Plan'!$I78=W$3,"C",IF('Master Plan'!$J78=W$3,"I",""))))</f>
        <v>C</v>
      </c>
      <c r="X78" s="20" t="str">
        <f>IF('Master Plan'!$G78=X$3,"R",IF('Master Plan'!$H78=X$3,"A",IF('Master Plan'!$I78=X$3,"C",IF('Master Plan'!$J78=X$3,"I",""))))</f>
        <v/>
      </c>
      <c r="Y78" s="20">
        <f t="shared" si="8"/>
        <v>1</v>
      </c>
      <c r="Z78" s="20">
        <f t="shared" si="9"/>
        <v>1</v>
      </c>
      <c r="AA78" s="20">
        <f t="shared" si="10"/>
        <v>1</v>
      </c>
      <c r="AB78" s="20">
        <f t="shared" si="11"/>
        <v>1</v>
      </c>
    </row>
    <row r="79" spans="1:28" ht="15" customHeight="1" x14ac:dyDescent="0.2">
      <c r="A79" s="35" t="str">
        <f>'Master Plan'!A79</f>
        <v>T-075</v>
      </c>
      <c r="B79" s="35" t="str">
        <f>'Master Plan'!B79</f>
        <v>8. Hypercare &amp; Close</v>
      </c>
      <c r="C79" s="35" t="str">
        <f>'Master Plan'!E79</f>
        <v>Hypercare Support</v>
      </c>
      <c r="D79" s="35" t="str">
        <f>'Master Plan'!N79</f>
        <v>Not Started</v>
      </c>
      <c r="E79" s="20" t="str">
        <f>IF('Master Plan'!$G79=E$3,"R",IF('Master Plan'!$H79=E$3,"A",IF('Master Plan'!$I79=E$3,"C",IF('Master Plan'!$J79=E$3,"I",""))))</f>
        <v/>
      </c>
      <c r="F79" s="20" t="str">
        <f>IF('Master Plan'!$G79=F$3,"R",IF('Master Plan'!$H79=F$3,"A",IF('Master Plan'!$I79=F$3,"C",IF('Master Plan'!$J79=F$3,"I",""))))</f>
        <v/>
      </c>
      <c r="G79" s="20" t="str">
        <f>IF('Master Plan'!$G79=G$3,"R",IF('Master Plan'!$H79=G$3,"A",IF('Master Plan'!$I79=G$3,"C",IF('Master Plan'!$J79=G$3,"I",""))))</f>
        <v/>
      </c>
      <c r="H79" s="20" t="str">
        <f>IF('Master Plan'!$G79=H$3,"R",IF('Master Plan'!$H79=H$3,"A",IF('Master Plan'!$I79=H$3,"C",IF('Master Plan'!$J79=H$3,"I",""))))</f>
        <v/>
      </c>
      <c r="I79" s="20" t="str">
        <f>IF('Master Plan'!$G79=I$3,"R",IF('Master Plan'!$H79=I$3,"A",IF('Master Plan'!$I79=I$3,"C",IF('Master Plan'!$J79=I$3,"I",""))))</f>
        <v>I</v>
      </c>
      <c r="J79" s="20" t="str">
        <f>IF('Master Plan'!$G79=J$3,"R",IF('Master Plan'!$H79=J$3,"A",IF('Master Plan'!$I79=J$3,"C",IF('Master Plan'!$J79=J$3,"I",""))))</f>
        <v/>
      </c>
      <c r="K79" s="20" t="str">
        <f>IF('Master Plan'!$G79=K$3,"R",IF('Master Plan'!$H79=K$3,"A",IF('Master Plan'!$I79=K$3,"C",IF('Master Plan'!$J79=K$3,"I",""))))</f>
        <v/>
      </c>
      <c r="L79" s="20" t="str">
        <f>IF('Master Plan'!$G79=L$3,"R",IF('Master Plan'!$H79=L$3,"A",IF('Master Plan'!$I79=L$3,"C",IF('Master Plan'!$J79=L$3,"I",""))))</f>
        <v/>
      </c>
      <c r="M79" s="20" t="str">
        <f>IF('Master Plan'!$G79=M$3,"R",IF('Master Plan'!$H79=M$3,"A",IF('Master Plan'!$I79=M$3,"C",IF('Master Plan'!$J79=M$3,"I",""))))</f>
        <v/>
      </c>
      <c r="N79" s="20" t="str">
        <f>IF('Master Plan'!$G79=N$3,"R",IF('Master Plan'!$H79=N$3,"A",IF('Master Plan'!$I79=N$3,"C",IF('Master Plan'!$J79=N$3,"I",""))))</f>
        <v/>
      </c>
      <c r="O79" s="20" t="str">
        <f>IF('Master Plan'!$G79=O$3,"R",IF('Master Plan'!$H79=O$3,"A",IF('Master Plan'!$I79=O$3,"C",IF('Master Plan'!$J79=O$3,"I",""))))</f>
        <v>C</v>
      </c>
      <c r="P79" s="20" t="str">
        <f>IF('Master Plan'!$G79=P$3,"R",IF('Master Plan'!$H79=P$3,"A",IF('Master Plan'!$I79=P$3,"C",IF('Master Plan'!$J79=P$3,"I",""))))</f>
        <v/>
      </c>
      <c r="Q79" s="20" t="str">
        <f>IF('Master Plan'!$G79=Q$3,"R",IF('Master Plan'!$H79=Q$3,"A",IF('Master Plan'!$I79=Q$3,"C",IF('Master Plan'!$J79=Q$3,"I",""))))</f>
        <v/>
      </c>
      <c r="R79" s="20" t="str">
        <f>IF('Master Plan'!$G79=R$3,"R",IF('Master Plan'!$H79=R$3,"A",IF('Master Plan'!$I79=R$3,"C",IF('Master Plan'!$J79=R$3,"I",""))))</f>
        <v/>
      </c>
      <c r="S79" s="20" t="str">
        <f>IF('Master Plan'!$G79=S$3,"R",IF('Master Plan'!$H79=S$3,"A",IF('Master Plan'!$I79=S$3,"C",IF('Master Plan'!$J79=S$3,"I",""))))</f>
        <v/>
      </c>
      <c r="T79" s="20" t="str">
        <f>IF('Master Plan'!$G79=T$3,"R",IF('Master Plan'!$H79=T$3,"A",IF('Master Plan'!$I79=T$3,"C",IF('Master Plan'!$J79=T$3,"I",""))))</f>
        <v/>
      </c>
      <c r="U79" s="20" t="str">
        <f>IF('Master Plan'!$G79=U$3,"R",IF('Master Plan'!$H79=U$3,"A",IF('Master Plan'!$I79=U$3,"C",IF('Master Plan'!$J79=U$3,"I",""))))</f>
        <v/>
      </c>
      <c r="V79" s="20" t="str">
        <f>IF('Master Plan'!$G79=V$3,"R",IF('Master Plan'!$H79=V$3,"A",IF('Master Plan'!$I79=V$3,"C",IF('Master Plan'!$J79=V$3,"I",""))))</f>
        <v/>
      </c>
      <c r="W79" s="20" t="str">
        <f>IF('Master Plan'!$G79=W$3,"R",IF('Master Plan'!$H79=W$3,"A",IF('Master Plan'!$I79=W$3,"C",IF('Master Plan'!$J79=W$3,"I",""))))</f>
        <v/>
      </c>
      <c r="X79" s="20" t="str">
        <f>IF('Master Plan'!$G79=X$3,"R",IF('Master Plan'!$H79=X$3,"A",IF('Master Plan'!$I79=X$3,"C",IF('Master Plan'!$J79=X$3,"I",""))))</f>
        <v>R</v>
      </c>
      <c r="Y79" s="20">
        <f t="shared" si="8"/>
        <v>1</v>
      </c>
      <c r="Z79" s="20">
        <f t="shared" si="9"/>
        <v>0</v>
      </c>
      <c r="AA79" s="20">
        <f t="shared" si="10"/>
        <v>1</v>
      </c>
      <c r="AB79" s="20">
        <f t="shared" si="11"/>
        <v>1</v>
      </c>
    </row>
    <row r="80" spans="1:28" ht="15" customHeight="1" x14ac:dyDescent="0.2">
      <c r="A80" s="35" t="str">
        <f>'Master Plan'!A80</f>
        <v>T-076</v>
      </c>
      <c r="B80" s="35" t="str">
        <f>'Master Plan'!B80</f>
        <v>8. Hypercare &amp; Close</v>
      </c>
      <c r="C80" s="35" t="str">
        <f>'Master Plan'!E80</f>
        <v>Volume Ramp</v>
      </c>
      <c r="D80" s="35" t="str">
        <f>'Master Plan'!N80</f>
        <v>Not Started</v>
      </c>
      <c r="E80" s="20" t="str">
        <f>IF('Master Plan'!$G80=E$3,"R",IF('Master Plan'!$H80=E$3,"A",IF('Master Plan'!$I80=E$3,"C",IF('Master Plan'!$J80=E$3,"I",""))))</f>
        <v/>
      </c>
      <c r="F80" s="20" t="str">
        <f>IF('Master Plan'!$G80=F$3,"R",IF('Master Plan'!$H80=F$3,"A",IF('Master Plan'!$I80=F$3,"C",IF('Master Plan'!$J80=F$3,"I",""))))</f>
        <v/>
      </c>
      <c r="G80" s="20" t="str">
        <f>IF('Master Plan'!$G80=G$3,"R",IF('Master Plan'!$H80=G$3,"A",IF('Master Plan'!$I80=G$3,"C",IF('Master Plan'!$J80=G$3,"I",""))))</f>
        <v/>
      </c>
      <c r="H80" s="20" t="str">
        <f>IF('Master Plan'!$G80=H$3,"R",IF('Master Plan'!$H80=H$3,"A",IF('Master Plan'!$I80=H$3,"C",IF('Master Plan'!$J80=H$3,"I",""))))</f>
        <v/>
      </c>
      <c r="I80" s="20" t="str">
        <f>IF('Master Plan'!$G80=I$3,"R",IF('Master Plan'!$H80=I$3,"A",IF('Master Plan'!$I80=I$3,"C",IF('Master Plan'!$J80=I$3,"I",""))))</f>
        <v/>
      </c>
      <c r="J80" s="20" t="str">
        <f>IF('Master Plan'!$G80=J$3,"R",IF('Master Plan'!$H80=J$3,"A",IF('Master Plan'!$I80=J$3,"C",IF('Master Plan'!$J80=J$3,"I",""))))</f>
        <v/>
      </c>
      <c r="K80" s="20" t="str">
        <f>IF('Master Plan'!$G80=K$3,"R",IF('Master Plan'!$H80=K$3,"A",IF('Master Plan'!$I80=K$3,"C",IF('Master Plan'!$J80=K$3,"I",""))))</f>
        <v>C</v>
      </c>
      <c r="L80" s="20" t="str">
        <f>IF('Master Plan'!$G80=L$3,"R",IF('Master Plan'!$H80=L$3,"A",IF('Master Plan'!$I80=L$3,"C",IF('Master Plan'!$J80=L$3,"I",""))))</f>
        <v/>
      </c>
      <c r="M80" s="20" t="str">
        <f>IF('Master Plan'!$G80=M$3,"R",IF('Master Plan'!$H80=M$3,"A",IF('Master Plan'!$I80=M$3,"C",IF('Master Plan'!$J80=M$3,"I",""))))</f>
        <v/>
      </c>
      <c r="N80" s="20" t="str">
        <f>IF('Master Plan'!$G80=N$3,"R",IF('Master Plan'!$H80=N$3,"A",IF('Master Plan'!$I80=N$3,"C",IF('Master Plan'!$J80=N$3,"I",""))))</f>
        <v/>
      </c>
      <c r="O80" s="20" t="str">
        <f>IF('Master Plan'!$G80=O$3,"R",IF('Master Plan'!$H80=O$3,"A",IF('Master Plan'!$I80=O$3,"C",IF('Master Plan'!$J80=O$3,"I",""))))</f>
        <v>R</v>
      </c>
      <c r="P80" s="20" t="str">
        <f>IF('Master Plan'!$G80=P$3,"R",IF('Master Plan'!$H80=P$3,"A",IF('Master Plan'!$I80=P$3,"C",IF('Master Plan'!$J80=P$3,"I",""))))</f>
        <v>I</v>
      </c>
      <c r="Q80" s="20" t="str">
        <f>IF('Master Plan'!$G80=Q$3,"R",IF('Master Plan'!$H80=Q$3,"A",IF('Master Plan'!$I80=Q$3,"C",IF('Master Plan'!$J80=Q$3,"I",""))))</f>
        <v/>
      </c>
      <c r="R80" s="20" t="str">
        <f>IF('Master Plan'!$G80=R$3,"R",IF('Master Plan'!$H80=R$3,"A",IF('Master Plan'!$I80=R$3,"C",IF('Master Plan'!$J80=R$3,"I",""))))</f>
        <v/>
      </c>
      <c r="S80" s="20" t="str">
        <f>IF('Master Plan'!$G80=S$3,"R",IF('Master Plan'!$H80=S$3,"A",IF('Master Plan'!$I80=S$3,"C",IF('Master Plan'!$J80=S$3,"I",""))))</f>
        <v/>
      </c>
      <c r="T80" s="20" t="str">
        <f>IF('Master Plan'!$G80=T$3,"R",IF('Master Plan'!$H80=T$3,"A",IF('Master Plan'!$I80=T$3,"C",IF('Master Plan'!$J80=T$3,"I",""))))</f>
        <v/>
      </c>
      <c r="U80" s="20" t="str">
        <f>IF('Master Plan'!$G80=U$3,"R",IF('Master Plan'!$H80=U$3,"A",IF('Master Plan'!$I80=U$3,"C",IF('Master Plan'!$J80=U$3,"I",""))))</f>
        <v/>
      </c>
      <c r="V80" s="20" t="str">
        <f>IF('Master Plan'!$G80=V$3,"R",IF('Master Plan'!$H80=V$3,"A",IF('Master Plan'!$I80=V$3,"C",IF('Master Plan'!$J80=V$3,"I",""))))</f>
        <v/>
      </c>
      <c r="W80" s="20" t="str">
        <f>IF('Master Plan'!$G80=W$3,"R",IF('Master Plan'!$H80=W$3,"A",IF('Master Plan'!$I80=W$3,"C",IF('Master Plan'!$J80=W$3,"I",""))))</f>
        <v/>
      </c>
      <c r="X80" s="20" t="str">
        <f>IF('Master Plan'!$G80=X$3,"R",IF('Master Plan'!$H80=X$3,"A",IF('Master Plan'!$I80=X$3,"C",IF('Master Plan'!$J80=X$3,"I",""))))</f>
        <v/>
      </c>
      <c r="Y80" s="20">
        <f t="shared" si="8"/>
        <v>1</v>
      </c>
      <c r="Z80" s="20">
        <f t="shared" si="9"/>
        <v>0</v>
      </c>
      <c r="AA80" s="20">
        <f t="shared" si="10"/>
        <v>1</v>
      </c>
      <c r="AB80" s="20">
        <f t="shared" si="11"/>
        <v>1</v>
      </c>
    </row>
    <row r="81" spans="1:28" ht="15" customHeight="1" x14ac:dyDescent="0.2">
      <c r="A81" s="35" t="str">
        <f>'Master Plan'!A81</f>
        <v>T-077</v>
      </c>
      <c r="B81" s="35" t="str">
        <f>'Master Plan'!B81</f>
        <v>8. Hypercare &amp; Close</v>
      </c>
      <c r="C81" s="35" t="str">
        <f>'Master Plan'!E81</f>
        <v>Financial Close</v>
      </c>
      <c r="D81" s="35" t="str">
        <f>'Master Plan'!N81</f>
        <v>Not Started</v>
      </c>
      <c r="E81" s="20" t="str">
        <f>IF('Master Plan'!$G81=E$3,"R",IF('Master Plan'!$H81=E$3,"A",IF('Master Plan'!$I81=E$3,"C",IF('Master Plan'!$J81=E$3,"I",""))))</f>
        <v>I</v>
      </c>
      <c r="F81" s="20" t="str">
        <f>IF('Master Plan'!$G81=F$3,"R",IF('Master Plan'!$H81=F$3,"A",IF('Master Plan'!$I81=F$3,"C",IF('Master Plan'!$J81=F$3,"I",""))))</f>
        <v>C</v>
      </c>
      <c r="G81" s="20" t="str">
        <f>IF('Master Plan'!$G81=G$3,"R",IF('Master Plan'!$H81=G$3,"A",IF('Master Plan'!$I81=G$3,"C",IF('Master Plan'!$J81=G$3,"I",""))))</f>
        <v/>
      </c>
      <c r="H81" s="20" t="str">
        <f>IF('Master Plan'!$G81=H$3,"R",IF('Master Plan'!$H81=H$3,"A",IF('Master Plan'!$I81=H$3,"C",IF('Master Plan'!$J81=H$3,"I",""))))</f>
        <v/>
      </c>
      <c r="I81" s="20" t="str">
        <f>IF('Master Plan'!$G81=I$3,"R",IF('Master Plan'!$H81=I$3,"A",IF('Master Plan'!$I81=I$3,"C",IF('Master Plan'!$J81=I$3,"I",""))))</f>
        <v/>
      </c>
      <c r="J81" s="20" t="str">
        <f>IF('Master Plan'!$G81=J$3,"R",IF('Master Plan'!$H81=J$3,"A",IF('Master Plan'!$I81=J$3,"C",IF('Master Plan'!$J81=J$3,"I",""))))</f>
        <v/>
      </c>
      <c r="K81" s="20" t="str">
        <f>IF('Master Plan'!$G81=K$3,"R",IF('Master Plan'!$H81=K$3,"A",IF('Master Plan'!$I81=K$3,"C",IF('Master Plan'!$J81=K$3,"I",""))))</f>
        <v/>
      </c>
      <c r="L81" s="20" t="str">
        <f>IF('Master Plan'!$G81=L$3,"R",IF('Master Plan'!$H81=L$3,"A",IF('Master Plan'!$I81=L$3,"C",IF('Master Plan'!$J81=L$3,"I",""))))</f>
        <v/>
      </c>
      <c r="M81" s="20" t="str">
        <f>IF('Master Plan'!$G81=M$3,"R",IF('Master Plan'!$H81=M$3,"A",IF('Master Plan'!$I81=M$3,"C",IF('Master Plan'!$J81=M$3,"I",""))))</f>
        <v/>
      </c>
      <c r="N81" s="20" t="str">
        <f>IF('Master Plan'!$G81=N$3,"R",IF('Master Plan'!$H81=N$3,"A",IF('Master Plan'!$I81=N$3,"C",IF('Master Plan'!$J81=N$3,"I",""))))</f>
        <v/>
      </c>
      <c r="O81" s="20" t="str">
        <f>IF('Master Plan'!$G81=O$3,"R",IF('Master Plan'!$H81=O$3,"A",IF('Master Plan'!$I81=O$3,"C",IF('Master Plan'!$J81=O$3,"I",""))))</f>
        <v/>
      </c>
      <c r="P81" s="20" t="str">
        <f>IF('Master Plan'!$G81=P$3,"R",IF('Master Plan'!$H81=P$3,"A",IF('Master Plan'!$I81=P$3,"C",IF('Master Plan'!$J81=P$3,"I",""))))</f>
        <v/>
      </c>
      <c r="Q81" s="20" t="str">
        <f>IF('Master Plan'!$G81=Q$3,"R",IF('Master Plan'!$H81=Q$3,"A",IF('Master Plan'!$I81=Q$3,"C",IF('Master Plan'!$J81=Q$3,"I",""))))</f>
        <v/>
      </c>
      <c r="R81" s="20" t="str">
        <f>IF('Master Plan'!$G81=R$3,"R",IF('Master Plan'!$H81=R$3,"A",IF('Master Plan'!$I81=R$3,"C",IF('Master Plan'!$J81=R$3,"I",""))))</f>
        <v/>
      </c>
      <c r="S81" s="20" t="str">
        <f>IF('Master Plan'!$G81=S$3,"R",IF('Master Plan'!$H81=S$3,"A",IF('Master Plan'!$I81=S$3,"C",IF('Master Plan'!$J81=S$3,"I",""))))</f>
        <v/>
      </c>
      <c r="T81" s="20" t="str">
        <f>IF('Master Plan'!$G81=T$3,"R",IF('Master Plan'!$H81=T$3,"A",IF('Master Plan'!$I81=T$3,"C",IF('Master Plan'!$J81=T$3,"I",""))))</f>
        <v>R</v>
      </c>
      <c r="U81" s="20" t="str">
        <f>IF('Master Plan'!$G81=U$3,"R",IF('Master Plan'!$H81=U$3,"A",IF('Master Plan'!$I81=U$3,"C",IF('Master Plan'!$J81=U$3,"I",""))))</f>
        <v/>
      </c>
      <c r="V81" s="20" t="str">
        <f>IF('Master Plan'!$G81=V$3,"R",IF('Master Plan'!$H81=V$3,"A",IF('Master Plan'!$I81=V$3,"C",IF('Master Plan'!$J81=V$3,"I",""))))</f>
        <v/>
      </c>
      <c r="W81" s="20" t="str">
        <f>IF('Master Plan'!$G81=W$3,"R",IF('Master Plan'!$H81=W$3,"A",IF('Master Plan'!$I81=W$3,"C",IF('Master Plan'!$J81=W$3,"I",""))))</f>
        <v/>
      </c>
      <c r="X81" s="20" t="str">
        <f>IF('Master Plan'!$G81=X$3,"R",IF('Master Plan'!$H81=X$3,"A",IF('Master Plan'!$I81=X$3,"C",IF('Master Plan'!$J81=X$3,"I",""))))</f>
        <v/>
      </c>
      <c r="Y81" s="20">
        <f t="shared" si="8"/>
        <v>1</v>
      </c>
      <c r="Z81" s="20">
        <f t="shared" si="9"/>
        <v>0</v>
      </c>
      <c r="AA81" s="20">
        <f t="shared" si="10"/>
        <v>1</v>
      </c>
      <c r="AB81" s="20">
        <f t="shared" si="11"/>
        <v>1</v>
      </c>
    </row>
    <row r="82" spans="1:28" ht="15" customHeight="1" x14ac:dyDescent="0.2">
      <c r="A82" s="35" t="str">
        <f>'Master Plan'!A82</f>
        <v>T-078</v>
      </c>
      <c r="B82" s="35" t="str">
        <f>'Master Plan'!B82</f>
        <v>8. Hypercare &amp; Close</v>
      </c>
      <c r="C82" s="35" t="str">
        <f>'Master Plan'!E82</f>
        <v>Vendor Acceptance</v>
      </c>
      <c r="D82" s="35" t="str">
        <f>'Master Plan'!N82</f>
        <v>Not Started</v>
      </c>
      <c r="E82" s="20" t="str">
        <f>IF('Master Plan'!$G82=E$3,"R",IF('Master Plan'!$H82=E$3,"A",IF('Master Plan'!$I82=E$3,"C",IF('Master Plan'!$J82=E$3,"I",""))))</f>
        <v/>
      </c>
      <c r="F82" s="20" t="str">
        <f>IF('Master Plan'!$G82=F$3,"R",IF('Master Plan'!$H82=F$3,"A",IF('Master Plan'!$I82=F$3,"C",IF('Master Plan'!$J82=F$3,"I",""))))</f>
        <v/>
      </c>
      <c r="G82" s="20" t="str">
        <f>IF('Master Plan'!$G82=G$3,"R",IF('Master Plan'!$H82=G$3,"A",IF('Master Plan'!$I82=G$3,"C",IF('Master Plan'!$J82=G$3,"I",""))))</f>
        <v/>
      </c>
      <c r="H82" s="20" t="str">
        <f>IF('Master Plan'!$G82=H$3,"R",IF('Master Plan'!$H82=H$3,"A",IF('Master Plan'!$I82=H$3,"C",IF('Master Plan'!$J82=H$3,"I",""))))</f>
        <v/>
      </c>
      <c r="I82" s="20" t="str">
        <f>IF('Master Plan'!$G82=I$3,"R",IF('Master Plan'!$H82=I$3,"A",IF('Master Plan'!$I82=I$3,"C",IF('Master Plan'!$J82=I$3,"I",""))))</f>
        <v/>
      </c>
      <c r="J82" s="20" t="str">
        <f>IF('Master Plan'!$G82=J$3,"R",IF('Master Plan'!$H82=J$3,"A",IF('Master Plan'!$I82=J$3,"C",IF('Master Plan'!$J82=J$3,"I",""))))</f>
        <v/>
      </c>
      <c r="K82" s="20" t="str">
        <f>IF('Master Plan'!$G82=K$3,"R",IF('Master Plan'!$H82=K$3,"A",IF('Master Plan'!$I82=K$3,"C",IF('Master Plan'!$J82=K$3,"I",""))))</f>
        <v>A</v>
      </c>
      <c r="L82" s="20" t="str">
        <f>IF('Master Plan'!$G82=L$3,"R",IF('Master Plan'!$H82=L$3,"A",IF('Master Plan'!$I82=L$3,"C",IF('Master Plan'!$J82=L$3,"I",""))))</f>
        <v/>
      </c>
      <c r="M82" s="20" t="str">
        <f>IF('Master Plan'!$G82=M$3,"R",IF('Master Plan'!$H82=M$3,"A",IF('Master Plan'!$I82=M$3,"C",IF('Master Plan'!$J82=M$3,"I",""))))</f>
        <v/>
      </c>
      <c r="N82" s="20" t="str">
        <f>IF('Master Plan'!$G82=N$3,"R",IF('Master Plan'!$H82=N$3,"A",IF('Master Plan'!$I82=N$3,"C",IF('Master Plan'!$J82=N$3,"I",""))))</f>
        <v/>
      </c>
      <c r="O82" s="20" t="str">
        <f>IF('Master Plan'!$G82=O$3,"R",IF('Master Plan'!$H82=O$3,"A",IF('Master Plan'!$I82=O$3,"C",IF('Master Plan'!$J82=O$3,"I",""))))</f>
        <v/>
      </c>
      <c r="P82" s="20" t="str">
        <f>IF('Master Plan'!$G82=P$3,"R",IF('Master Plan'!$H82=P$3,"A",IF('Master Plan'!$I82=P$3,"C",IF('Master Plan'!$J82=P$3,"I",""))))</f>
        <v/>
      </c>
      <c r="Q82" s="20" t="str">
        <f>IF('Master Plan'!$G82=Q$3,"R",IF('Master Plan'!$H82=Q$3,"A",IF('Master Plan'!$I82=Q$3,"C",IF('Master Plan'!$J82=Q$3,"I",""))))</f>
        <v>R</v>
      </c>
      <c r="R82" s="20" t="str">
        <f>IF('Master Plan'!$G82=R$3,"R",IF('Master Plan'!$H82=R$3,"A",IF('Master Plan'!$I82=R$3,"C",IF('Master Plan'!$J82=R$3,"I",""))))</f>
        <v>C</v>
      </c>
      <c r="S82" s="20" t="str">
        <f>IF('Master Plan'!$G82=S$3,"R",IF('Master Plan'!$H82=S$3,"A",IF('Master Plan'!$I82=S$3,"C",IF('Master Plan'!$J82=S$3,"I",""))))</f>
        <v/>
      </c>
      <c r="T82" s="20" t="str">
        <f>IF('Master Plan'!$G82=T$3,"R",IF('Master Plan'!$H82=T$3,"A",IF('Master Plan'!$I82=T$3,"C",IF('Master Plan'!$J82=T$3,"I",""))))</f>
        <v>I</v>
      </c>
      <c r="U82" s="20" t="str">
        <f>IF('Master Plan'!$G82=U$3,"R",IF('Master Plan'!$H82=U$3,"A",IF('Master Plan'!$I82=U$3,"C",IF('Master Plan'!$J82=U$3,"I",""))))</f>
        <v/>
      </c>
      <c r="V82" s="20" t="str">
        <f>IF('Master Plan'!$G82=V$3,"R",IF('Master Plan'!$H82=V$3,"A",IF('Master Plan'!$I82=V$3,"C",IF('Master Plan'!$J82=V$3,"I",""))))</f>
        <v/>
      </c>
      <c r="W82" s="20" t="str">
        <f>IF('Master Plan'!$G82=W$3,"R",IF('Master Plan'!$H82=W$3,"A",IF('Master Plan'!$I82=W$3,"C",IF('Master Plan'!$J82=W$3,"I",""))))</f>
        <v/>
      </c>
      <c r="X82" s="20" t="str">
        <f>IF('Master Plan'!$G82=X$3,"R",IF('Master Plan'!$H82=X$3,"A",IF('Master Plan'!$I82=X$3,"C",IF('Master Plan'!$J82=X$3,"I",""))))</f>
        <v/>
      </c>
      <c r="Y82" s="20">
        <f t="shared" si="8"/>
        <v>1</v>
      </c>
      <c r="Z82" s="20">
        <f t="shared" si="9"/>
        <v>1</v>
      </c>
      <c r="AA82" s="20">
        <f t="shared" si="10"/>
        <v>1</v>
      </c>
      <c r="AB82" s="20">
        <f t="shared" si="11"/>
        <v>1</v>
      </c>
    </row>
    <row r="83" spans="1:28" ht="15" customHeight="1" x14ac:dyDescent="0.2">
      <c r="A83" s="35" t="str">
        <f>'Master Plan'!A83</f>
        <v>T-079</v>
      </c>
      <c r="B83" s="35" t="str">
        <f>'Master Plan'!B83</f>
        <v>8. Hypercare &amp; Close</v>
      </c>
      <c r="C83" s="35" t="str">
        <f>'Master Plan'!E83</f>
        <v>Handover to Run</v>
      </c>
      <c r="D83" s="35" t="str">
        <f>'Master Plan'!N83</f>
        <v>Not Started</v>
      </c>
      <c r="E83" s="20" t="str">
        <f>IF('Master Plan'!$G83=E$3,"R",IF('Master Plan'!$H83=E$3,"A",IF('Master Plan'!$I83=E$3,"C",IF('Master Plan'!$J83=E$3,"I",""))))</f>
        <v/>
      </c>
      <c r="F83" s="20" t="str">
        <f>IF('Master Plan'!$G83=F$3,"R",IF('Master Plan'!$H83=F$3,"A",IF('Master Plan'!$I83=F$3,"C",IF('Master Plan'!$J83=F$3,"I",""))))</f>
        <v/>
      </c>
      <c r="G83" s="20" t="str">
        <f>IF('Master Plan'!$G83=G$3,"R",IF('Master Plan'!$H83=G$3,"A",IF('Master Plan'!$I83=G$3,"C",IF('Master Plan'!$J83=G$3,"I",""))))</f>
        <v/>
      </c>
      <c r="H83" s="20" t="str">
        <f>IF('Master Plan'!$G83=H$3,"R",IF('Master Plan'!$H83=H$3,"A",IF('Master Plan'!$I83=H$3,"C",IF('Master Plan'!$J83=H$3,"I",""))))</f>
        <v/>
      </c>
      <c r="I83" s="20" t="str">
        <f>IF('Master Plan'!$G83=I$3,"R",IF('Master Plan'!$H83=I$3,"A",IF('Master Plan'!$I83=I$3,"C",IF('Master Plan'!$J83=I$3,"I",""))))</f>
        <v/>
      </c>
      <c r="J83" s="20" t="str">
        <f>IF('Master Plan'!$G83=J$3,"R",IF('Master Plan'!$H83=J$3,"A",IF('Master Plan'!$I83=J$3,"C",IF('Master Plan'!$J83=J$3,"I",""))))</f>
        <v>C</v>
      </c>
      <c r="K83" s="20" t="str">
        <f>IF('Master Plan'!$G83=K$3,"R",IF('Master Plan'!$H83=K$3,"A",IF('Master Plan'!$I83=K$3,"C",IF('Master Plan'!$J83=K$3,"I",""))))</f>
        <v/>
      </c>
      <c r="L83" s="20" t="str">
        <f>IF('Master Plan'!$G83=L$3,"R",IF('Master Plan'!$H83=L$3,"A",IF('Master Plan'!$I83=L$3,"C",IF('Master Plan'!$J83=L$3,"I",""))))</f>
        <v/>
      </c>
      <c r="M83" s="20" t="str">
        <f>IF('Master Plan'!$G83=M$3,"R",IF('Master Plan'!$H83=M$3,"A",IF('Master Plan'!$I83=M$3,"C",IF('Master Plan'!$J83=M$3,"I",""))))</f>
        <v/>
      </c>
      <c r="N83" s="20" t="str">
        <f>IF('Master Plan'!$G83=N$3,"R",IF('Master Plan'!$H83=N$3,"A",IF('Master Plan'!$I83=N$3,"C",IF('Master Plan'!$J83=N$3,"I",""))))</f>
        <v/>
      </c>
      <c r="O83" s="20" t="str">
        <f>IF('Master Plan'!$G83=O$3,"R",IF('Master Plan'!$H83=O$3,"A",IF('Master Plan'!$I83=O$3,"C",IF('Master Plan'!$J83=O$3,"I",""))))</f>
        <v>I</v>
      </c>
      <c r="P83" s="20" t="str">
        <f>IF('Master Plan'!$G83=P$3,"R",IF('Master Plan'!$H83=P$3,"A",IF('Master Plan'!$I83=P$3,"C",IF('Master Plan'!$J83=P$3,"I",""))))</f>
        <v/>
      </c>
      <c r="Q83" s="20" t="str">
        <f>IF('Master Plan'!$G83=Q$3,"R",IF('Master Plan'!$H83=Q$3,"A",IF('Master Plan'!$I83=Q$3,"C",IF('Master Plan'!$J83=Q$3,"I",""))))</f>
        <v/>
      </c>
      <c r="R83" s="20" t="str">
        <f>IF('Master Plan'!$G83=R$3,"R",IF('Master Plan'!$H83=R$3,"A",IF('Master Plan'!$I83=R$3,"C",IF('Master Plan'!$J83=R$3,"I",""))))</f>
        <v/>
      </c>
      <c r="S83" s="20" t="str">
        <f>IF('Master Plan'!$G83=S$3,"R",IF('Master Plan'!$H83=S$3,"A",IF('Master Plan'!$I83=S$3,"C",IF('Master Plan'!$J83=S$3,"I",""))))</f>
        <v/>
      </c>
      <c r="T83" s="20" t="str">
        <f>IF('Master Plan'!$G83=T$3,"R",IF('Master Plan'!$H83=T$3,"A",IF('Master Plan'!$I83=T$3,"C",IF('Master Plan'!$J83=T$3,"I",""))))</f>
        <v/>
      </c>
      <c r="U83" s="20" t="str">
        <f>IF('Master Plan'!$G83=U$3,"R",IF('Master Plan'!$H83=U$3,"A",IF('Master Plan'!$I83=U$3,"C",IF('Master Plan'!$J83=U$3,"I",""))))</f>
        <v/>
      </c>
      <c r="V83" s="20" t="str">
        <f>IF('Master Plan'!$G83=V$3,"R",IF('Master Plan'!$H83=V$3,"A",IF('Master Plan'!$I83=V$3,"C",IF('Master Plan'!$J83=V$3,"I",""))))</f>
        <v/>
      </c>
      <c r="W83" s="20" t="str">
        <f>IF('Master Plan'!$G83=W$3,"R",IF('Master Plan'!$H83=W$3,"A",IF('Master Plan'!$I83=W$3,"C",IF('Master Plan'!$J83=W$3,"I",""))))</f>
        <v/>
      </c>
      <c r="X83" s="20" t="str">
        <f>IF('Master Plan'!$G83=X$3,"R",IF('Master Plan'!$H83=X$3,"A",IF('Master Plan'!$I83=X$3,"C",IF('Master Plan'!$J83=X$3,"I",""))))</f>
        <v>R</v>
      </c>
      <c r="Y83" s="20">
        <f t="shared" si="8"/>
        <v>1</v>
      </c>
      <c r="Z83" s="20">
        <f t="shared" si="9"/>
        <v>0</v>
      </c>
      <c r="AA83" s="20">
        <f t="shared" si="10"/>
        <v>1</v>
      </c>
      <c r="AB83" s="20">
        <f t="shared" si="11"/>
        <v>1</v>
      </c>
    </row>
    <row r="84" spans="1:28" ht="15" customHeight="1" x14ac:dyDescent="0.2">
      <c r="A84" s="35" t="str">
        <f>'Master Plan'!A84</f>
        <v>T-080</v>
      </c>
      <c r="B84" s="35" t="str">
        <f>'Master Plan'!B84</f>
        <v>8. Hypercare &amp; Close</v>
      </c>
      <c r="C84" s="35" t="str">
        <f>'Master Plan'!E84</f>
        <v>Lessons Learned</v>
      </c>
      <c r="D84" s="35" t="str">
        <f>'Master Plan'!N84</f>
        <v>Not Started</v>
      </c>
      <c r="E84" s="20" t="str">
        <f>IF('Master Plan'!$G84=E$3,"R",IF('Master Plan'!$H84=E$3,"A",IF('Master Plan'!$I84=E$3,"C",IF('Master Plan'!$J84=E$3,"I",""))))</f>
        <v>I</v>
      </c>
      <c r="F84" s="20" t="str">
        <f>IF('Master Plan'!$G84=F$3,"R",IF('Master Plan'!$H84=F$3,"A",IF('Master Plan'!$I84=F$3,"C",IF('Master Plan'!$J84=F$3,"I",""))))</f>
        <v>R</v>
      </c>
      <c r="G84" s="20" t="str">
        <f>IF('Master Plan'!$G84=G$3,"R",IF('Master Plan'!$H84=G$3,"A",IF('Master Plan'!$I84=G$3,"C",IF('Master Plan'!$J84=G$3,"I",""))))</f>
        <v/>
      </c>
      <c r="H84" s="20" t="str">
        <f>IF('Master Plan'!$G84=H$3,"R",IF('Master Plan'!$H84=H$3,"A",IF('Master Plan'!$I84=H$3,"C",IF('Master Plan'!$J84=H$3,"I",""))))</f>
        <v/>
      </c>
      <c r="I84" s="20" t="str">
        <f>IF('Master Plan'!$G84=I$3,"R",IF('Master Plan'!$H84=I$3,"A",IF('Master Plan'!$I84=I$3,"C",IF('Master Plan'!$J84=I$3,"I",""))))</f>
        <v/>
      </c>
      <c r="J84" s="20" t="str">
        <f>IF('Master Plan'!$G84=J$3,"R",IF('Master Plan'!$H84=J$3,"A",IF('Master Plan'!$I84=J$3,"C",IF('Master Plan'!$J84=J$3,"I",""))))</f>
        <v/>
      </c>
      <c r="K84" s="20" t="str">
        <f>IF('Master Plan'!$G84=K$3,"R",IF('Master Plan'!$H84=K$3,"A",IF('Master Plan'!$I84=K$3,"C",IF('Master Plan'!$J84=K$3,"I",""))))</f>
        <v/>
      </c>
      <c r="L84" s="20" t="str">
        <f>IF('Master Plan'!$G84=L$3,"R",IF('Master Plan'!$H84=L$3,"A",IF('Master Plan'!$I84=L$3,"C",IF('Master Plan'!$J84=L$3,"I",""))))</f>
        <v/>
      </c>
      <c r="M84" s="20" t="str">
        <f>IF('Master Plan'!$G84=M$3,"R",IF('Master Plan'!$H84=M$3,"A",IF('Master Plan'!$I84=M$3,"C",IF('Master Plan'!$J84=M$3,"I",""))))</f>
        <v/>
      </c>
      <c r="N84" s="20" t="str">
        <f>IF('Master Plan'!$G84=N$3,"R",IF('Master Plan'!$H84=N$3,"A",IF('Master Plan'!$I84=N$3,"C",IF('Master Plan'!$J84=N$3,"I",""))))</f>
        <v/>
      </c>
      <c r="O84" s="20" t="str">
        <f>IF('Master Plan'!$G84=O$3,"R",IF('Master Plan'!$H84=O$3,"A",IF('Master Plan'!$I84=O$3,"C",IF('Master Plan'!$J84=O$3,"I",""))))</f>
        <v>C</v>
      </c>
      <c r="P84" s="20" t="str">
        <f>IF('Master Plan'!$G84=P$3,"R",IF('Master Plan'!$H84=P$3,"A",IF('Master Plan'!$I84=P$3,"C",IF('Master Plan'!$J84=P$3,"I",""))))</f>
        <v/>
      </c>
      <c r="Q84" s="20" t="str">
        <f>IF('Master Plan'!$G84=Q$3,"R",IF('Master Plan'!$H84=Q$3,"A",IF('Master Plan'!$I84=Q$3,"C",IF('Master Plan'!$J84=Q$3,"I",""))))</f>
        <v/>
      </c>
      <c r="R84" s="20" t="str">
        <f>IF('Master Plan'!$G84=R$3,"R",IF('Master Plan'!$H84=R$3,"A",IF('Master Plan'!$I84=R$3,"C",IF('Master Plan'!$J84=R$3,"I",""))))</f>
        <v/>
      </c>
      <c r="S84" s="20" t="str">
        <f>IF('Master Plan'!$G84=S$3,"R",IF('Master Plan'!$H84=S$3,"A",IF('Master Plan'!$I84=S$3,"C",IF('Master Plan'!$J84=S$3,"I",""))))</f>
        <v/>
      </c>
      <c r="T84" s="20" t="str">
        <f>IF('Master Plan'!$G84=T$3,"R",IF('Master Plan'!$H84=T$3,"A",IF('Master Plan'!$I84=T$3,"C",IF('Master Plan'!$J84=T$3,"I",""))))</f>
        <v/>
      </c>
      <c r="U84" s="20" t="str">
        <f>IF('Master Plan'!$G84=U$3,"R",IF('Master Plan'!$H84=U$3,"A",IF('Master Plan'!$I84=U$3,"C",IF('Master Plan'!$J84=U$3,"I",""))))</f>
        <v/>
      </c>
      <c r="V84" s="20" t="str">
        <f>IF('Master Plan'!$G84=V$3,"R",IF('Master Plan'!$H84=V$3,"A",IF('Master Plan'!$I84=V$3,"C",IF('Master Plan'!$J84=V$3,"I",""))))</f>
        <v/>
      </c>
      <c r="W84" s="20" t="str">
        <f>IF('Master Plan'!$G84=W$3,"R",IF('Master Plan'!$H84=W$3,"A",IF('Master Plan'!$I84=W$3,"C",IF('Master Plan'!$J84=W$3,"I",""))))</f>
        <v/>
      </c>
      <c r="X84" s="20" t="str">
        <f>IF('Master Plan'!$G84=X$3,"R",IF('Master Plan'!$H84=X$3,"A",IF('Master Plan'!$I84=X$3,"C",IF('Master Plan'!$J84=X$3,"I",""))))</f>
        <v/>
      </c>
      <c r="Y84" s="20">
        <f t="shared" si="8"/>
        <v>1</v>
      </c>
      <c r="Z84" s="20">
        <f t="shared" si="9"/>
        <v>0</v>
      </c>
      <c r="AA84" s="20">
        <f t="shared" si="10"/>
        <v>1</v>
      </c>
      <c r="AB84" s="20">
        <f t="shared" si="11"/>
        <v>1</v>
      </c>
    </row>
    <row r="85" spans="1:28" ht="15" customHeight="1" x14ac:dyDescent="0.2">
      <c r="A85" s="35" t="str">
        <f>'Master Plan'!A85</f>
        <v>T-081</v>
      </c>
      <c r="B85" s="35" t="str">
        <f>'Master Plan'!B85</f>
        <v>8. Hypercare &amp; Close</v>
      </c>
      <c r="C85" s="35" t="str">
        <f>'Master Plan'!E85</f>
        <v>Gate 8 Review</v>
      </c>
      <c r="D85" s="35" t="str">
        <f>'Master Plan'!N85</f>
        <v>Not Started</v>
      </c>
      <c r="E85" s="20" t="str">
        <f>IF('Master Plan'!$G85=E$3,"R",IF('Master Plan'!$H85=E$3,"A",IF('Master Plan'!$I85=E$3,"C",IF('Master Plan'!$J85=E$3,"I",""))))</f>
        <v>A</v>
      </c>
      <c r="F85" s="20" t="str">
        <f>IF('Master Plan'!$G85=F$3,"R",IF('Master Plan'!$H85=F$3,"A",IF('Master Plan'!$I85=F$3,"C",IF('Master Plan'!$J85=F$3,"I",""))))</f>
        <v>R</v>
      </c>
      <c r="G85" s="20" t="str">
        <f>IF('Master Plan'!$G85=G$3,"R",IF('Master Plan'!$H85=G$3,"A",IF('Master Plan'!$I85=G$3,"C",IF('Master Plan'!$J85=G$3,"I",""))))</f>
        <v/>
      </c>
      <c r="H85" s="20" t="str">
        <f>IF('Master Plan'!$G85=H$3,"R",IF('Master Plan'!$H85=H$3,"A",IF('Master Plan'!$I85=H$3,"C",IF('Master Plan'!$J85=H$3,"I",""))))</f>
        <v/>
      </c>
      <c r="I85" s="20" t="str">
        <f>IF('Master Plan'!$G85=I$3,"R",IF('Master Plan'!$H85=I$3,"A",IF('Master Plan'!$I85=I$3,"C",IF('Master Plan'!$J85=I$3,"I",""))))</f>
        <v/>
      </c>
      <c r="J85" s="20" t="str">
        <f>IF('Master Plan'!$G85=J$3,"R",IF('Master Plan'!$H85=J$3,"A",IF('Master Plan'!$I85=J$3,"C",IF('Master Plan'!$J85=J$3,"I",""))))</f>
        <v/>
      </c>
      <c r="K85" s="20" t="str">
        <f>IF('Master Plan'!$G85=K$3,"R",IF('Master Plan'!$H85=K$3,"A",IF('Master Plan'!$I85=K$3,"C",IF('Master Plan'!$J85=K$3,"I",""))))</f>
        <v/>
      </c>
      <c r="L85" s="20" t="str">
        <f>IF('Master Plan'!$G85=L$3,"R",IF('Master Plan'!$H85=L$3,"A",IF('Master Plan'!$I85=L$3,"C",IF('Master Plan'!$J85=L$3,"I",""))))</f>
        <v/>
      </c>
      <c r="M85" s="20" t="str">
        <f>IF('Master Plan'!$G85=M$3,"R",IF('Master Plan'!$H85=M$3,"A",IF('Master Plan'!$I85=M$3,"C",IF('Master Plan'!$J85=M$3,"I",""))))</f>
        <v/>
      </c>
      <c r="N85" s="20" t="str">
        <f>IF('Master Plan'!$G85=N$3,"R",IF('Master Plan'!$H85=N$3,"A",IF('Master Plan'!$I85=N$3,"C",IF('Master Plan'!$J85=N$3,"I",""))))</f>
        <v/>
      </c>
      <c r="O85" s="20" t="str">
        <f>IF('Master Plan'!$G85=O$3,"R",IF('Master Plan'!$H85=O$3,"A",IF('Master Plan'!$I85=O$3,"C",IF('Master Plan'!$J85=O$3,"I",""))))</f>
        <v/>
      </c>
      <c r="P85" s="20" t="str">
        <f>IF('Master Plan'!$G85=P$3,"R",IF('Master Plan'!$H85=P$3,"A",IF('Master Plan'!$I85=P$3,"C",IF('Master Plan'!$J85=P$3,"I",""))))</f>
        <v/>
      </c>
      <c r="Q85" s="20" t="str">
        <f>IF('Master Plan'!$G85=Q$3,"R",IF('Master Plan'!$H85=Q$3,"A",IF('Master Plan'!$I85=Q$3,"C",IF('Master Plan'!$J85=Q$3,"I",""))))</f>
        <v/>
      </c>
      <c r="R85" s="20" t="str">
        <f>IF('Master Plan'!$G85=R$3,"R",IF('Master Plan'!$H85=R$3,"A",IF('Master Plan'!$I85=R$3,"C",IF('Master Plan'!$J85=R$3,"I",""))))</f>
        <v/>
      </c>
      <c r="S85" s="20" t="str">
        <f>IF('Master Plan'!$G85=S$3,"R",IF('Master Plan'!$H85=S$3,"A",IF('Master Plan'!$I85=S$3,"C",IF('Master Plan'!$J85=S$3,"I",""))))</f>
        <v/>
      </c>
      <c r="T85" s="20" t="str">
        <f>IF('Master Plan'!$G85=T$3,"R",IF('Master Plan'!$H85=T$3,"A",IF('Master Plan'!$I85=T$3,"C",IF('Master Plan'!$J85=T$3,"I",""))))</f>
        <v>I</v>
      </c>
      <c r="U85" s="20" t="str">
        <f>IF('Master Plan'!$G85=U$3,"R",IF('Master Plan'!$H85=U$3,"A",IF('Master Plan'!$I85=U$3,"C",IF('Master Plan'!$J85=U$3,"I",""))))</f>
        <v/>
      </c>
      <c r="V85" s="20" t="str">
        <f>IF('Master Plan'!$G85=V$3,"R",IF('Master Plan'!$H85=V$3,"A",IF('Master Plan'!$I85=V$3,"C",IF('Master Plan'!$J85=V$3,"I",""))))</f>
        <v/>
      </c>
      <c r="W85" s="20" t="str">
        <f>IF('Master Plan'!$G85=W$3,"R",IF('Master Plan'!$H85=W$3,"A",IF('Master Plan'!$I85=W$3,"C",IF('Master Plan'!$J85=W$3,"I",""))))</f>
        <v/>
      </c>
      <c r="X85" s="20" t="str">
        <f>IF('Master Plan'!$G85=X$3,"R",IF('Master Plan'!$H85=X$3,"A",IF('Master Plan'!$I85=X$3,"C",IF('Master Plan'!$J85=X$3,"I",""))))</f>
        <v>C</v>
      </c>
      <c r="Y85" s="20">
        <f t="shared" si="8"/>
        <v>1</v>
      </c>
      <c r="Z85" s="20">
        <f t="shared" si="9"/>
        <v>1</v>
      </c>
      <c r="AA85" s="20">
        <f t="shared" si="10"/>
        <v>1</v>
      </c>
      <c r="AB85" s="20">
        <f t="shared" si="11"/>
        <v>1</v>
      </c>
    </row>
    <row r="86" spans="1:28" ht="15" customHeight="1" x14ac:dyDescent="0.2">
      <c r="A86" s="5" t="s">
        <v>544</v>
      </c>
      <c r="D86" s="36" t="s">
        <v>545</v>
      </c>
      <c r="E86" s="24">
        <f t="shared" ref="E86:X86" si="12">COUNTIF(E5:E85,"R")</f>
        <v>1</v>
      </c>
      <c r="F86" s="24">
        <f t="shared" si="12"/>
        <v>14</v>
      </c>
      <c r="G86" s="24">
        <f t="shared" si="12"/>
        <v>1</v>
      </c>
      <c r="H86" s="24">
        <f t="shared" si="12"/>
        <v>5</v>
      </c>
      <c r="I86" s="24">
        <f t="shared" si="12"/>
        <v>1</v>
      </c>
      <c r="J86" s="24">
        <f t="shared" si="12"/>
        <v>5</v>
      </c>
      <c r="K86" s="24">
        <f t="shared" si="12"/>
        <v>2</v>
      </c>
      <c r="L86" s="24">
        <f t="shared" si="12"/>
        <v>4</v>
      </c>
      <c r="M86" s="24">
        <f t="shared" si="12"/>
        <v>5</v>
      </c>
      <c r="N86" s="24">
        <f t="shared" si="12"/>
        <v>4</v>
      </c>
      <c r="O86" s="24">
        <f t="shared" si="12"/>
        <v>10</v>
      </c>
      <c r="P86" s="24">
        <f t="shared" si="12"/>
        <v>4</v>
      </c>
      <c r="Q86" s="24">
        <f t="shared" si="12"/>
        <v>3</v>
      </c>
      <c r="R86" s="24">
        <f t="shared" si="12"/>
        <v>4</v>
      </c>
      <c r="S86" s="24">
        <f t="shared" si="12"/>
        <v>1</v>
      </c>
      <c r="T86" s="24">
        <f t="shared" si="12"/>
        <v>3</v>
      </c>
      <c r="U86" s="24">
        <f t="shared" si="12"/>
        <v>5</v>
      </c>
      <c r="V86" s="24">
        <f t="shared" si="12"/>
        <v>3</v>
      </c>
      <c r="W86" s="24">
        <f t="shared" si="12"/>
        <v>4</v>
      </c>
      <c r="X86" s="24">
        <f t="shared" si="12"/>
        <v>2</v>
      </c>
    </row>
    <row r="87" spans="1:28" ht="15" customHeight="1" x14ac:dyDescent="0.2">
      <c r="D87" s="36" t="s">
        <v>546</v>
      </c>
      <c r="E87" s="24">
        <f t="shared" ref="E87:X87" si="13">COUNTIF(E5:E85,"A")</f>
        <v>14</v>
      </c>
      <c r="F87" s="24">
        <f t="shared" si="13"/>
        <v>5</v>
      </c>
      <c r="G87" s="24">
        <f t="shared" si="13"/>
        <v>0</v>
      </c>
      <c r="H87" s="24">
        <f t="shared" si="13"/>
        <v>0</v>
      </c>
      <c r="I87" s="24">
        <f t="shared" si="13"/>
        <v>6</v>
      </c>
      <c r="J87" s="24">
        <f t="shared" si="13"/>
        <v>1</v>
      </c>
      <c r="K87" s="24">
        <f t="shared" si="13"/>
        <v>5</v>
      </c>
      <c r="L87" s="24">
        <f t="shared" si="13"/>
        <v>4</v>
      </c>
      <c r="M87" s="24">
        <f t="shared" si="13"/>
        <v>0</v>
      </c>
      <c r="N87" s="24">
        <f t="shared" si="13"/>
        <v>0</v>
      </c>
      <c r="O87" s="24">
        <f t="shared" si="13"/>
        <v>2</v>
      </c>
      <c r="P87" s="24">
        <f t="shared" si="13"/>
        <v>0</v>
      </c>
      <c r="Q87" s="24">
        <f t="shared" si="13"/>
        <v>0</v>
      </c>
      <c r="R87" s="24">
        <f t="shared" si="13"/>
        <v>0</v>
      </c>
      <c r="S87" s="24">
        <f t="shared" si="13"/>
        <v>1</v>
      </c>
      <c r="T87" s="24">
        <f t="shared" si="13"/>
        <v>0</v>
      </c>
      <c r="U87" s="24">
        <f t="shared" si="13"/>
        <v>0</v>
      </c>
      <c r="V87" s="24">
        <f t="shared" si="13"/>
        <v>1</v>
      </c>
      <c r="W87" s="24">
        <f t="shared" si="13"/>
        <v>0</v>
      </c>
      <c r="X87" s="24">
        <f t="shared" si="13"/>
        <v>0</v>
      </c>
    </row>
    <row r="88" spans="1:28" ht="15" customHeight="1" x14ac:dyDescent="0.2">
      <c r="D88" s="36" t="s">
        <v>547</v>
      </c>
      <c r="E88" s="24">
        <f t="shared" ref="E88:X88" si="14">COUNTIF(E5:E85,"C")</f>
        <v>0</v>
      </c>
      <c r="F88" s="24">
        <f t="shared" si="14"/>
        <v>6</v>
      </c>
      <c r="G88" s="24">
        <f t="shared" si="14"/>
        <v>2</v>
      </c>
      <c r="H88" s="24">
        <f t="shared" si="14"/>
        <v>4</v>
      </c>
      <c r="I88" s="24">
        <f t="shared" si="14"/>
        <v>9</v>
      </c>
      <c r="J88" s="24">
        <f t="shared" si="14"/>
        <v>14</v>
      </c>
      <c r="K88" s="24">
        <f t="shared" si="14"/>
        <v>4</v>
      </c>
      <c r="L88" s="24">
        <f t="shared" si="14"/>
        <v>5</v>
      </c>
      <c r="M88" s="24">
        <f t="shared" si="14"/>
        <v>1</v>
      </c>
      <c r="N88" s="24">
        <f t="shared" si="14"/>
        <v>3</v>
      </c>
      <c r="O88" s="24">
        <f t="shared" si="14"/>
        <v>10</v>
      </c>
      <c r="P88" s="24">
        <f t="shared" si="14"/>
        <v>3</v>
      </c>
      <c r="Q88" s="24">
        <f t="shared" si="14"/>
        <v>3</v>
      </c>
      <c r="R88" s="24">
        <f t="shared" si="14"/>
        <v>3</v>
      </c>
      <c r="S88" s="24">
        <f t="shared" si="14"/>
        <v>3</v>
      </c>
      <c r="T88" s="24">
        <f t="shared" si="14"/>
        <v>2</v>
      </c>
      <c r="U88" s="24">
        <f t="shared" si="14"/>
        <v>5</v>
      </c>
      <c r="V88" s="24">
        <f t="shared" si="14"/>
        <v>1</v>
      </c>
      <c r="W88" s="24">
        <f t="shared" si="14"/>
        <v>1</v>
      </c>
      <c r="X88" s="24">
        <f t="shared" si="14"/>
        <v>2</v>
      </c>
    </row>
    <row r="89" spans="1:28" ht="15" customHeight="1" x14ac:dyDescent="0.2">
      <c r="D89" s="36" t="s">
        <v>548</v>
      </c>
      <c r="E89" s="24">
        <f t="shared" ref="E89:X89" si="15">COUNTIF(E5:E85,"I")</f>
        <v>6</v>
      </c>
      <c r="F89" s="24">
        <f t="shared" si="15"/>
        <v>8</v>
      </c>
      <c r="G89" s="24">
        <f t="shared" si="15"/>
        <v>2</v>
      </c>
      <c r="H89" s="24">
        <f t="shared" si="15"/>
        <v>2</v>
      </c>
      <c r="I89" s="24">
        <f t="shared" si="15"/>
        <v>10</v>
      </c>
      <c r="J89" s="24">
        <f t="shared" si="15"/>
        <v>2</v>
      </c>
      <c r="K89" s="24">
        <f t="shared" si="15"/>
        <v>3</v>
      </c>
      <c r="L89" s="24">
        <f t="shared" si="15"/>
        <v>2</v>
      </c>
      <c r="M89" s="24">
        <f t="shared" si="15"/>
        <v>0</v>
      </c>
      <c r="N89" s="24">
        <f t="shared" si="15"/>
        <v>8</v>
      </c>
      <c r="O89" s="24">
        <f t="shared" si="15"/>
        <v>18</v>
      </c>
      <c r="P89" s="24">
        <f t="shared" si="15"/>
        <v>4</v>
      </c>
      <c r="Q89" s="24">
        <f t="shared" si="15"/>
        <v>3</v>
      </c>
      <c r="R89" s="24">
        <f t="shared" si="15"/>
        <v>0</v>
      </c>
      <c r="S89" s="24">
        <f t="shared" si="15"/>
        <v>3</v>
      </c>
      <c r="T89" s="24">
        <f t="shared" si="15"/>
        <v>5</v>
      </c>
      <c r="U89" s="24">
        <f t="shared" si="15"/>
        <v>2</v>
      </c>
      <c r="V89" s="24">
        <f t="shared" si="15"/>
        <v>2</v>
      </c>
      <c r="W89" s="24">
        <f t="shared" si="15"/>
        <v>1</v>
      </c>
      <c r="X89" s="24">
        <f t="shared" si="15"/>
        <v>0</v>
      </c>
    </row>
  </sheetData>
  <conditionalFormatting sqref="E5:X85">
    <cfRule type="cellIs" dxfId="10" priority="2" operator="equal">
      <formula>"R"</formula>
    </cfRule>
    <cfRule type="cellIs" dxfId="9" priority="3" operator="equal">
      <formula>"A"</formula>
    </cfRule>
    <cfRule type="cellIs" dxfId="8" priority="4" operator="equal">
      <formula>"C"</formula>
    </cfRule>
    <cfRule type="cellIs" dxfId="7" priority="5" operator="equal">
      <formula>"I"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4"/>
  <sheetViews>
    <sheetView zoomScaleNormal="100" workbookViewId="0">
      <pane ySplit="4" topLeftCell="A5" activePane="bottomLeft" state="frozen"/>
      <selection pane="bottomLeft" activeCell="E21" sqref="E21"/>
    </sheetView>
  </sheetViews>
  <sheetFormatPr baseColWidth="10" defaultColWidth="8.6640625" defaultRowHeight="15" x14ac:dyDescent="0.2"/>
  <cols>
    <col min="1" max="1" width="7" customWidth="1"/>
    <col min="2" max="2" width="60" customWidth="1"/>
    <col min="3" max="3" width="12" customWidth="1"/>
    <col min="4" max="4" width="16" customWidth="1"/>
    <col min="5" max="5" width="13" customWidth="1"/>
    <col min="6" max="6" width="26" customWidth="1"/>
    <col min="7" max="7" width="14" customWidth="1"/>
    <col min="8" max="8" width="12" customWidth="1"/>
    <col min="9" max="9" width="30" customWidth="1"/>
  </cols>
  <sheetData>
    <row r="1" spans="1:9" ht="19.75" customHeight="1" x14ac:dyDescent="0.2">
      <c r="A1" s="26" t="s">
        <v>549</v>
      </c>
    </row>
    <row r="2" spans="1:9" ht="15" customHeight="1" x14ac:dyDescent="0.2">
      <c r="A2" s="10" t="s">
        <v>550</v>
      </c>
    </row>
    <row r="4" spans="1:9" ht="31.5" customHeight="1" x14ac:dyDescent="0.2">
      <c r="A4" s="15" t="s">
        <v>251</v>
      </c>
      <c r="B4" s="15" t="s">
        <v>551</v>
      </c>
      <c r="C4" s="15" t="s">
        <v>552</v>
      </c>
      <c r="D4" s="15" t="s">
        <v>553</v>
      </c>
      <c r="E4" s="15" t="s">
        <v>213</v>
      </c>
      <c r="F4" s="15" t="s">
        <v>252</v>
      </c>
      <c r="G4" s="15" t="s">
        <v>554</v>
      </c>
      <c r="H4" s="15" t="s">
        <v>555</v>
      </c>
      <c r="I4" s="15" t="s">
        <v>556</v>
      </c>
    </row>
    <row r="5" spans="1:9" ht="15" customHeight="1" x14ac:dyDescent="0.2">
      <c r="A5" s="42" t="s">
        <v>557</v>
      </c>
      <c r="B5" s="43"/>
      <c r="C5" s="43"/>
      <c r="D5" s="44"/>
      <c r="E5" s="37" t="s">
        <v>558</v>
      </c>
      <c r="F5" s="37" t="str">
        <f>IF(COUNTIFS(E6:E11,"Open")+COUNTIFS(E6:E11,"In Progress")=0,"PASSED","OPEN — "&amp;(COUNTIFS(E6:E11,"Open")+COUNTIFS(E6:E11,"In Progress"))&amp;" item(s)")</f>
        <v>PASSED</v>
      </c>
      <c r="G5" s="38" t="str">
        <f>COUNTIFS(E6:E11,"Complete")+COUNTIFS(E6:E11,"N/A")&amp;" / "&amp;COUNTA(B6:B11)&amp;" done"</f>
        <v>6 / 6 done</v>
      </c>
      <c r="H5" s="39"/>
      <c r="I5" s="39"/>
    </row>
    <row r="6" spans="1:9" ht="15" customHeight="1" x14ac:dyDescent="0.2">
      <c r="A6" s="40" t="s">
        <v>261</v>
      </c>
      <c r="B6" s="27" t="s">
        <v>559</v>
      </c>
      <c r="C6" s="27" t="s">
        <v>121</v>
      </c>
      <c r="D6" s="27"/>
      <c r="E6" s="27" t="s">
        <v>53</v>
      </c>
      <c r="F6" s="27"/>
      <c r="G6" s="27"/>
      <c r="H6" s="30"/>
      <c r="I6" s="27"/>
    </row>
    <row r="7" spans="1:9" ht="15" customHeight="1" x14ac:dyDescent="0.2">
      <c r="A7" s="40" t="s">
        <v>261</v>
      </c>
      <c r="B7" s="27" t="s">
        <v>560</v>
      </c>
      <c r="C7" s="27" t="s">
        <v>121</v>
      </c>
      <c r="D7" s="27"/>
      <c r="E7" s="27" t="s">
        <v>53</v>
      </c>
      <c r="F7" s="27"/>
      <c r="G7" s="27"/>
      <c r="H7" s="30"/>
      <c r="I7" s="27"/>
    </row>
    <row r="8" spans="1:9" ht="15" customHeight="1" x14ac:dyDescent="0.2">
      <c r="A8" s="40" t="s">
        <v>261</v>
      </c>
      <c r="B8" s="27" t="s">
        <v>561</v>
      </c>
      <c r="C8" s="27" t="s">
        <v>121</v>
      </c>
      <c r="D8" s="27"/>
      <c r="E8" s="27" t="s">
        <v>53</v>
      </c>
      <c r="F8" s="27"/>
      <c r="G8" s="27"/>
      <c r="H8" s="30"/>
      <c r="I8" s="27"/>
    </row>
    <row r="9" spans="1:9" ht="15" customHeight="1" x14ac:dyDescent="0.2">
      <c r="A9" s="40" t="s">
        <v>261</v>
      </c>
      <c r="B9" s="27" t="s">
        <v>562</v>
      </c>
      <c r="C9" s="27" t="s">
        <v>121</v>
      </c>
      <c r="D9" s="27"/>
      <c r="E9" s="27" t="s">
        <v>53</v>
      </c>
      <c r="F9" s="27"/>
      <c r="G9" s="27"/>
      <c r="H9" s="30"/>
      <c r="I9" s="27"/>
    </row>
    <row r="10" spans="1:9" ht="15" customHeight="1" x14ac:dyDescent="0.2">
      <c r="A10" s="40" t="s">
        <v>261</v>
      </c>
      <c r="B10" s="27" t="s">
        <v>563</v>
      </c>
      <c r="C10" s="27" t="s">
        <v>121</v>
      </c>
      <c r="D10" s="27"/>
      <c r="E10" s="27" t="s">
        <v>53</v>
      </c>
      <c r="F10" s="27"/>
      <c r="G10" s="27"/>
      <c r="H10" s="30"/>
      <c r="I10" s="27"/>
    </row>
    <row r="11" spans="1:9" ht="15" customHeight="1" x14ac:dyDescent="0.2">
      <c r="A11" s="40" t="s">
        <v>261</v>
      </c>
      <c r="B11" s="27" t="s">
        <v>564</v>
      </c>
      <c r="C11" s="27" t="s">
        <v>121</v>
      </c>
      <c r="D11" s="27"/>
      <c r="E11" s="27" t="s">
        <v>53</v>
      </c>
      <c r="F11" s="27"/>
      <c r="G11" s="27"/>
      <c r="H11" s="30"/>
      <c r="I11" s="27"/>
    </row>
    <row r="13" spans="1:9" ht="15" customHeight="1" x14ac:dyDescent="0.2">
      <c r="A13" s="42" t="s">
        <v>565</v>
      </c>
      <c r="B13" s="43"/>
      <c r="C13" s="43"/>
      <c r="D13" s="44"/>
      <c r="E13" s="37" t="s">
        <v>558</v>
      </c>
      <c r="F13" s="37" t="str">
        <f>IF(COUNTIFS(E14:E22,"Open")+COUNTIFS(E14:E22,"In Progress")=0,"PASSED","OPEN — "&amp;(COUNTIFS(E14:E22,"Open")+COUNTIFS(E14:E22,"In Progress"))&amp;" item(s)")</f>
        <v>OPEN — 1 item(s)</v>
      </c>
      <c r="G13" s="38" t="str">
        <f>COUNTIFS(E14:E22,"Complete")+COUNTIFS(E14:E22,"N/A")&amp;" / "&amp;COUNTA(B14:B22)&amp;" done"</f>
        <v>8 / 9 done</v>
      </c>
      <c r="H13" s="39"/>
      <c r="I13" s="39"/>
    </row>
    <row r="14" spans="1:9" ht="15" customHeight="1" x14ac:dyDescent="0.2">
      <c r="A14" s="40" t="s">
        <v>284</v>
      </c>
      <c r="B14" s="27" t="s">
        <v>566</v>
      </c>
      <c r="C14" s="27" t="s">
        <v>121</v>
      </c>
      <c r="D14" s="27"/>
      <c r="E14" s="27" t="s">
        <v>53</v>
      </c>
      <c r="F14" s="27"/>
      <c r="G14" s="27"/>
      <c r="H14" s="30"/>
      <c r="I14" s="27"/>
    </row>
    <row r="15" spans="1:9" ht="15" customHeight="1" x14ac:dyDescent="0.2">
      <c r="A15" s="40" t="s">
        <v>284</v>
      </c>
      <c r="B15" s="27" t="s">
        <v>568</v>
      </c>
      <c r="C15" s="27" t="s">
        <v>121</v>
      </c>
      <c r="D15" s="27"/>
      <c r="E15" s="27" t="s">
        <v>53</v>
      </c>
      <c r="F15" s="27"/>
      <c r="G15" s="27"/>
      <c r="H15" s="30"/>
      <c r="I15" s="27"/>
    </row>
    <row r="16" spans="1:9" ht="15" customHeight="1" x14ac:dyDescent="0.2">
      <c r="A16" s="40" t="s">
        <v>284</v>
      </c>
      <c r="B16" s="27" t="s">
        <v>569</v>
      </c>
      <c r="C16" s="27" t="s">
        <v>121</v>
      </c>
      <c r="D16" s="27"/>
      <c r="E16" s="27" t="s">
        <v>53</v>
      </c>
      <c r="F16" s="27"/>
      <c r="G16" s="27"/>
      <c r="H16" s="30"/>
      <c r="I16" s="27"/>
    </row>
    <row r="17" spans="1:9" ht="15" customHeight="1" x14ac:dyDescent="0.2">
      <c r="A17" s="40" t="s">
        <v>284</v>
      </c>
      <c r="B17" s="27" t="s">
        <v>570</v>
      </c>
      <c r="C17" s="27" t="s">
        <v>121</v>
      </c>
      <c r="D17" s="27"/>
      <c r="E17" s="27" t="s">
        <v>53</v>
      </c>
      <c r="F17" s="27"/>
      <c r="G17" s="27"/>
      <c r="H17" s="30"/>
      <c r="I17" s="27"/>
    </row>
    <row r="18" spans="1:9" ht="15" customHeight="1" x14ac:dyDescent="0.2">
      <c r="A18" s="40" t="s">
        <v>284</v>
      </c>
      <c r="B18" s="27" t="s">
        <v>571</v>
      </c>
      <c r="C18" s="27" t="s">
        <v>121</v>
      </c>
      <c r="D18" s="27"/>
      <c r="E18" s="27" t="s">
        <v>53</v>
      </c>
      <c r="F18" s="27"/>
      <c r="G18" s="27"/>
      <c r="H18" s="30"/>
      <c r="I18" s="27"/>
    </row>
    <row r="19" spans="1:9" ht="15" customHeight="1" x14ac:dyDescent="0.2">
      <c r="A19" s="40" t="s">
        <v>284</v>
      </c>
      <c r="B19" s="27" t="s">
        <v>572</v>
      </c>
      <c r="C19" s="27" t="s">
        <v>121</v>
      </c>
      <c r="D19" s="27"/>
      <c r="E19" s="27" t="s">
        <v>53</v>
      </c>
      <c r="F19" s="27"/>
      <c r="G19" s="27"/>
      <c r="H19" s="30"/>
      <c r="I19" s="27"/>
    </row>
    <row r="20" spans="1:9" ht="15" customHeight="1" x14ac:dyDescent="0.2">
      <c r="A20" s="40" t="s">
        <v>284</v>
      </c>
      <c r="B20" s="27" t="s">
        <v>573</v>
      </c>
      <c r="C20" s="27" t="s">
        <v>121</v>
      </c>
      <c r="D20" s="27"/>
      <c r="E20" s="27" t="s">
        <v>53</v>
      </c>
      <c r="F20" s="27"/>
      <c r="G20" s="27"/>
      <c r="H20" s="30"/>
      <c r="I20" s="27"/>
    </row>
    <row r="21" spans="1:9" ht="15" customHeight="1" x14ac:dyDescent="0.2">
      <c r="A21" s="40" t="s">
        <v>284</v>
      </c>
      <c r="B21" s="27" t="s">
        <v>574</v>
      </c>
      <c r="C21" s="27" t="s">
        <v>121</v>
      </c>
      <c r="D21" s="27"/>
      <c r="E21" s="27" t="s">
        <v>53</v>
      </c>
      <c r="F21" s="27"/>
      <c r="G21" s="27"/>
      <c r="H21" s="30"/>
      <c r="I21" s="27"/>
    </row>
    <row r="22" spans="1:9" ht="15" customHeight="1" x14ac:dyDescent="0.2">
      <c r="A22" s="40" t="s">
        <v>284</v>
      </c>
      <c r="B22" s="27" t="s">
        <v>575</v>
      </c>
      <c r="C22" s="27" t="s">
        <v>121</v>
      </c>
      <c r="D22" s="27"/>
      <c r="E22" s="27" t="s">
        <v>567</v>
      </c>
      <c r="F22" s="27"/>
      <c r="G22" s="27"/>
      <c r="H22" s="30"/>
      <c r="I22" s="27"/>
    </row>
    <row r="24" spans="1:9" ht="15" customHeight="1" x14ac:dyDescent="0.2">
      <c r="A24" s="42" t="s">
        <v>576</v>
      </c>
      <c r="B24" s="43"/>
      <c r="C24" s="43"/>
      <c r="D24" s="44"/>
      <c r="E24" s="37" t="s">
        <v>558</v>
      </c>
      <c r="F24" s="37" t="str">
        <f>IF(COUNTIFS(E25:E32,"Open")+COUNTIFS(E25:E32,"In Progress")=0,"PASSED","OPEN — "&amp;(COUNTIFS(E25:E32,"Open")+COUNTIFS(E25:E32,"In Progress"))&amp;" item(s)")</f>
        <v>OPEN — 8 item(s)</v>
      </c>
      <c r="G24" s="38" t="str">
        <f>COUNTIFS(E25:E32,"Complete")+COUNTIFS(E25:E32,"N/A")&amp;" / "&amp;COUNTA(B25:B32)&amp;" done"</f>
        <v>0 / 8 done</v>
      </c>
      <c r="H24" s="39"/>
      <c r="I24" s="39"/>
    </row>
    <row r="25" spans="1:9" ht="15" customHeight="1" x14ac:dyDescent="0.2">
      <c r="A25" s="40" t="s">
        <v>336</v>
      </c>
      <c r="B25" s="27" t="s">
        <v>577</v>
      </c>
      <c r="C25" s="27" t="s">
        <v>121</v>
      </c>
      <c r="D25" s="27"/>
      <c r="E25" s="27" t="s">
        <v>567</v>
      </c>
      <c r="F25" s="27"/>
      <c r="G25" s="27"/>
      <c r="H25" s="30"/>
      <c r="I25" s="27"/>
    </row>
    <row r="26" spans="1:9" ht="15" customHeight="1" x14ac:dyDescent="0.2">
      <c r="A26" s="40" t="s">
        <v>336</v>
      </c>
      <c r="B26" s="27" t="s">
        <v>578</v>
      </c>
      <c r="C26" s="27" t="s">
        <v>121</v>
      </c>
      <c r="D26" s="27"/>
      <c r="E26" s="27" t="s">
        <v>567</v>
      </c>
      <c r="F26" s="27"/>
      <c r="G26" s="27"/>
      <c r="H26" s="30"/>
      <c r="I26" s="27"/>
    </row>
    <row r="27" spans="1:9" ht="15" customHeight="1" x14ac:dyDescent="0.2">
      <c r="A27" s="40" t="s">
        <v>336</v>
      </c>
      <c r="B27" s="27" t="s">
        <v>579</v>
      </c>
      <c r="C27" s="27" t="s">
        <v>121</v>
      </c>
      <c r="D27" s="27"/>
      <c r="E27" s="27" t="s">
        <v>567</v>
      </c>
      <c r="F27" s="27"/>
      <c r="G27" s="27"/>
      <c r="H27" s="30"/>
      <c r="I27" s="27"/>
    </row>
    <row r="28" spans="1:9" ht="15" customHeight="1" x14ac:dyDescent="0.2">
      <c r="A28" s="40" t="s">
        <v>336</v>
      </c>
      <c r="B28" s="27" t="s">
        <v>580</v>
      </c>
      <c r="C28" s="27" t="s">
        <v>121</v>
      </c>
      <c r="D28" s="27"/>
      <c r="E28" s="27" t="s">
        <v>567</v>
      </c>
      <c r="F28" s="27"/>
      <c r="G28" s="27"/>
      <c r="H28" s="30"/>
      <c r="I28" s="27"/>
    </row>
    <row r="29" spans="1:9" ht="15" customHeight="1" x14ac:dyDescent="0.2">
      <c r="A29" s="40" t="s">
        <v>336</v>
      </c>
      <c r="B29" s="27" t="s">
        <v>581</v>
      </c>
      <c r="C29" s="27" t="s">
        <v>121</v>
      </c>
      <c r="D29" s="27"/>
      <c r="E29" s="27" t="s">
        <v>567</v>
      </c>
      <c r="F29" s="27"/>
      <c r="G29" s="27"/>
      <c r="H29" s="30"/>
      <c r="I29" s="27"/>
    </row>
    <row r="30" spans="1:9" ht="15" customHeight="1" x14ac:dyDescent="0.2">
      <c r="A30" s="40" t="s">
        <v>336</v>
      </c>
      <c r="B30" s="27" t="s">
        <v>582</v>
      </c>
      <c r="C30" s="27" t="s">
        <v>121</v>
      </c>
      <c r="D30" s="27"/>
      <c r="E30" s="27" t="s">
        <v>567</v>
      </c>
      <c r="F30" s="27"/>
      <c r="G30" s="27"/>
      <c r="H30" s="30"/>
      <c r="I30" s="27"/>
    </row>
    <row r="31" spans="1:9" ht="15" customHeight="1" x14ac:dyDescent="0.2">
      <c r="A31" s="40" t="s">
        <v>336</v>
      </c>
      <c r="B31" s="27" t="s">
        <v>583</v>
      </c>
      <c r="C31" s="27" t="s">
        <v>121</v>
      </c>
      <c r="D31" s="27"/>
      <c r="E31" s="27" t="s">
        <v>567</v>
      </c>
      <c r="F31" s="27"/>
      <c r="G31" s="27"/>
      <c r="H31" s="30"/>
      <c r="I31" s="27"/>
    </row>
    <row r="32" spans="1:9" ht="15" customHeight="1" x14ac:dyDescent="0.2">
      <c r="A32" s="40" t="s">
        <v>336</v>
      </c>
      <c r="B32" s="27" t="s">
        <v>584</v>
      </c>
      <c r="C32" s="27" t="s">
        <v>121</v>
      </c>
      <c r="D32" s="27"/>
      <c r="E32" s="27" t="s">
        <v>567</v>
      </c>
      <c r="F32" s="27"/>
      <c r="G32" s="27"/>
      <c r="H32" s="30"/>
      <c r="I32" s="27"/>
    </row>
    <row r="34" spans="1:9" ht="15" customHeight="1" x14ac:dyDescent="0.2">
      <c r="A34" s="42" t="s">
        <v>585</v>
      </c>
      <c r="B34" s="43"/>
      <c r="C34" s="43"/>
      <c r="D34" s="44"/>
      <c r="E34" s="37" t="s">
        <v>558</v>
      </c>
      <c r="F34" s="37" t="str">
        <f>IF(COUNTIFS(E35:E40,"Open")+COUNTIFS(E35:E40,"In Progress")=0,"PASSED","OPEN — "&amp;(COUNTIFS(E35:E40,"Open")+COUNTIFS(E35:E40,"In Progress"))&amp;" item(s)")</f>
        <v>OPEN — 6 item(s)</v>
      </c>
      <c r="G34" s="38" t="str">
        <f>COUNTIFS(E35:E40,"Complete")+COUNTIFS(E35:E40,"N/A")&amp;" / "&amp;COUNTA(B35:B40)&amp;" done"</f>
        <v>0 / 6 done</v>
      </c>
      <c r="H34" s="39"/>
      <c r="I34" s="39"/>
    </row>
    <row r="35" spans="1:9" ht="15" customHeight="1" x14ac:dyDescent="0.2">
      <c r="A35" s="40" t="s">
        <v>391</v>
      </c>
      <c r="B35" s="27" t="s">
        <v>586</v>
      </c>
      <c r="C35" s="27" t="s">
        <v>121</v>
      </c>
      <c r="D35" s="27"/>
      <c r="E35" s="27" t="s">
        <v>567</v>
      </c>
      <c r="F35" s="27"/>
      <c r="G35" s="27"/>
      <c r="H35" s="30"/>
      <c r="I35" s="27"/>
    </row>
    <row r="36" spans="1:9" ht="15" customHeight="1" x14ac:dyDescent="0.2">
      <c r="A36" s="40" t="s">
        <v>391</v>
      </c>
      <c r="B36" s="27" t="s">
        <v>587</v>
      </c>
      <c r="C36" s="27" t="s">
        <v>121</v>
      </c>
      <c r="D36" s="27"/>
      <c r="E36" s="27" t="s">
        <v>567</v>
      </c>
      <c r="F36" s="27"/>
      <c r="G36" s="27"/>
      <c r="H36" s="30"/>
      <c r="I36" s="27"/>
    </row>
    <row r="37" spans="1:9" ht="15" customHeight="1" x14ac:dyDescent="0.2">
      <c r="A37" s="40" t="s">
        <v>391</v>
      </c>
      <c r="B37" s="27" t="s">
        <v>588</v>
      </c>
      <c r="C37" s="27" t="s">
        <v>121</v>
      </c>
      <c r="D37" s="27"/>
      <c r="E37" s="27" t="s">
        <v>567</v>
      </c>
      <c r="F37" s="27"/>
      <c r="G37" s="27"/>
      <c r="H37" s="30"/>
      <c r="I37" s="27"/>
    </row>
    <row r="38" spans="1:9" ht="15" customHeight="1" x14ac:dyDescent="0.2">
      <c r="A38" s="40" t="s">
        <v>391</v>
      </c>
      <c r="B38" s="27" t="s">
        <v>589</v>
      </c>
      <c r="C38" s="27" t="s">
        <v>121</v>
      </c>
      <c r="D38" s="27"/>
      <c r="E38" s="27" t="s">
        <v>567</v>
      </c>
      <c r="F38" s="27"/>
      <c r="G38" s="27"/>
      <c r="H38" s="30"/>
      <c r="I38" s="27"/>
    </row>
    <row r="39" spans="1:9" ht="15" customHeight="1" x14ac:dyDescent="0.2">
      <c r="A39" s="40" t="s">
        <v>391</v>
      </c>
      <c r="B39" s="27" t="s">
        <v>590</v>
      </c>
      <c r="C39" s="27" t="s">
        <v>121</v>
      </c>
      <c r="D39" s="27"/>
      <c r="E39" s="27" t="s">
        <v>567</v>
      </c>
      <c r="F39" s="27"/>
      <c r="G39" s="27"/>
      <c r="H39" s="30"/>
      <c r="I39" s="27"/>
    </row>
    <row r="40" spans="1:9" ht="15" customHeight="1" x14ac:dyDescent="0.2">
      <c r="A40" s="40" t="s">
        <v>391</v>
      </c>
      <c r="B40" s="27" t="s">
        <v>591</v>
      </c>
      <c r="C40" s="27" t="s">
        <v>121</v>
      </c>
      <c r="D40" s="27"/>
      <c r="E40" s="27" t="s">
        <v>567</v>
      </c>
      <c r="F40" s="27"/>
      <c r="G40" s="27"/>
      <c r="H40" s="30"/>
      <c r="I40" s="27"/>
    </row>
    <row r="42" spans="1:9" ht="15" customHeight="1" x14ac:dyDescent="0.2">
      <c r="A42" s="42" t="s">
        <v>592</v>
      </c>
      <c r="B42" s="43"/>
      <c r="C42" s="43"/>
      <c r="D42" s="44"/>
      <c r="E42" s="37" t="s">
        <v>558</v>
      </c>
      <c r="F42" s="37" t="str">
        <f>IF(COUNTIFS(E43:E49,"Open")+COUNTIFS(E43:E49,"In Progress")=0,"PASSED","OPEN — "&amp;(COUNTIFS(E43:E49,"Open")+COUNTIFS(E43:E49,"In Progress"))&amp;" item(s)")</f>
        <v>OPEN — 7 item(s)</v>
      </c>
      <c r="G42" s="38" t="str">
        <f>COUNTIFS(E43:E49,"Complete")+COUNTIFS(E43:E49,"N/A")&amp;" / "&amp;COUNTA(B43:B49)&amp;" done"</f>
        <v>0 / 7 done</v>
      </c>
      <c r="H42" s="39"/>
      <c r="I42" s="39"/>
    </row>
    <row r="43" spans="1:9" ht="15" customHeight="1" x14ac:dyDescent="0.2">
      <c r="A43" s="40" t="s">
        <v>425</v>
      </c>
      <c r="B43" s="27" t="s">
        <v>593</v>
      </c>
      <c r="C43" s="27" t="s">
        <v>121</v>
      </c>
      <c r="D43" s="27"/>
      <c r="E43" s="27" t="s">
        <v>567</v>
      </c>
      <c r="F43" s="27"/>
      <c r="G43" s="27"/>
      <c r="H43" s="30"/>
      <c r="I43" s="27"/>
    </row>
    <row r="44" spans="1:9" ht="15" customHeight="1" x14ac:dyDescent="0.2">
      <c r="A44" s="40" t="s">
        <v>425</v>
      </c>
      <c r="B44" s="27" t="s">
        <v>594</v>
      </c>
      <c r="C44" s="27" t="s">
        <v>121</v>
      </c>
      <c r="D44" s="27"/>
      <c r="E44" s="27" t="s">
        <v>567</v>
      </c>
      <c r="F44" s="27"/>
      <c r="G44" s="27"/>
      <c r="H44" s="30"/>
      <c r="I44" s="27"/>
    </row>
    <row r="45" spans="1:9" ht="15" customHeight="1" x14ac:dyDescent="0.2">
      <c r="A45" s="40" t="s">
        <v>425</v>
      </c>
      <c r="B45" s="27" t="s">
        <v>595</v>
      </c>
      <c r="C45" s="27" t="s">
        <v>121</v>
      </c>
      <c r="D45" s="27"/>
      <c r="E45" s="27" t="s">
        <v>567</v>
      </c>
      <c r="F45" s="27"/>
      <c r="G45" s="27"/>
      <c r="H45" s="30"/>
      <c r="I45" s="27"/>
    </row>
    <row r="46" spans="1:9" ht="15" customHeight="1" x14ac:dyDescent="0.2">
      <c r="A46" s="40" t="s">
        <v>425</v>
      </c>
      <c r="B46" s="27" t="s">
        <v>596</v>
      </c>
      <c r="C46" s="27" t="s">
        <v>121</v>
      </c>
      <c r="D46" s="27"/>
      <c r="E46" s="27" t="s">
        <v>567</v>
      </c>
      <c r="F46" s="27"/>
      <c r="G46" s="27"/>
      <c r="H46" s="30"/>
      <c r="I46" s="27"/>
    </row>
    <row r="47" spans="1:9" ht="15" customHeight="1" x14ac:dyDescent="0.2">
      <c r="A47" s="40" t="s">
        <v>425</v>
      </c>
      <c r="B47" s="27" t="s">
        <v>597</v>
      </c>
      <c r="C47" s="27" t="s">
        <v>121</v>
      </c>
      <c r="D47" s="27"/>
      <c r="E47" s="27" t="s">
        <v>567</v>
      </c>
      <c r="F47" s="27"/>
      <c r="G47" s="27"/>
      <c r="H47" s="30"/>
      <c r="I47" s="27"/>
    </row>
    <row r="48" spans="1:9" ht="15" customHeight="1" x14ac:dyDescent="0.2">
      <c r="A48" s="40" t="s">
        <v>425</v>
      </c>
      <c r="B48" s="27" t="s">
        <v>598</v>
      </c>
      <c r="C48" s="27" t="s">
        <v>121</v>
      </c>
      <c r="D48" s="27"/>
      <c r="E48" s="27" t="s">
        <v>567</v>
      </c>
      <c r="F48" s="27"/>
      <c r="G48" s="27"/>
      <c r="H48" s="30"/>
      <c r="I48" s="27"/>
    </row>
    <row r="49" spans="1:9" ht="15" customHeight="1" x14ac:dyDescent="0.2">
      <c r="A49" s="40" t="s">
        <v>425</v>
      </c>
      <c r="B49" s="27" t="s">
        <v>599</v>
      </c>
      <c r="C49" s="27" t="s">
        <v>121</v>
      </c>
      <c r="D49" s="27"/>
      <c r="E49" s="27" t="s">
        <v>567</v>
      </c>
      <c r="F49" s="27"/>
      <c r="G49" s="27"/>
      <c r="H49" s="30"/>
      <c r="I49" s="27"/>
    </row>
    <row r="51" spans="1:9" ht="15" customHeight="1" x14ac:dyDescent="0.2">
      <c r="A51" s="42" t="s">
        <v>600</v>
      </c>
      <c r="B51" s="43"/>
      <c r="C51" s="43"/>
      <c r="D51" s="44"/>
      <c r="E51" s="37" t="s">
        <v>558</v>
      </c>
      <c r="F51" s="37" t="str">
        <f>IF(COUNTIFS(E52:E56,"Open")+COUNTIFS(E52:E56,"In Progress")=0,"PASSED","OPEN — "&amp;(COUNTIFS(E52:E56,"Open")+COUNTIFS(E52:E56,"In Progress"))&amp;" item(s)")</f>
        <v>OPEN — 5 item(s)</v>
      </c>
      <c r="G51" s="38" t="str">
        <f>COUNTIFS(E52:E56,"Complete")+COUNTIFS(E52:E56,"N/A")&amp;" / "&amp;COUNTA(B52:B56)&amp;" done"</f>
        <v>0 / 5 done</v>
      </c>
      <c r="H51" s="39"/>
      <c r="I51" s="39"/>
    </row>
    <row r="52" spans="1:9" ht="15" customHeight="1" x14ac:dyDescent="0.2">
      <c r="A52" s="40" t="s">
        <v>458</v>
      </c>
      <c r="B52" s="27" t="s">
        <v>601</v>
      </c>
      <c r="C52" s="27" t="s">
        <v>121</v>
      </c>
      <c r="D52" s="27"/>
      <c r="E52" s="27" t="s">
        <v>567</v>
      </c>
      <c r="F52" s="27"/>
      <c r="G52" s="27"/>
      <c r="H52" s="30"/>
      <c r="I52" s="27"/>
    </row>
    <row r="53" spans="1:9" ht="15" customHeight="1" x14ac:dyDescent="0.2">
      <c r="A53" s="40" t="s">
        <v>458</v>
      </c>
      <c r="B53" s="27" t="s">
        <v>602</v>
      </c>
      <c r="C53" s="27" t="s">
        <v>121</v>
      </c>
      <c r="D53" s="27"/>
      <c r="E53" s="27" t="s">
        <v>567</v>
      </c>
      <c r="F53" s="27"/>
      <c r="G53" s="27"/>
      <c r="H53" s="30"/>
      <c r="I53" s="27"/>
    </row>
    <row r="54" spans="1:9" ht="15" customHeight="1" x14ac:dyDescent="0.2">
      <c r="A54" s="40" t="s">
        <v>458</v>
      </c>
      <c r="B54" s="27" t="s">
        <v>603</v>
      </c>
      <c r="C54" s="27" t="s">
        <v>121</v>
      </c>
      <c r="D54" s="27"/>
      <c r="E54" s="27" t="s">
        <v>567</v>
      </c>
      <c r="F54" s="27"/>
      <c r="G54" s="27"/>
      <c r="H54" s="30"/>
      <c r="I54" s="27"/>
    </row>
    <row r="55" spans="1:9" ht="15" customHeight="1" x14ac:dyDescent="0.2">
      <c r="A55" s="40" t="s">
        <v>458</v>
      </c>
      <c r="B55" s="27" t="s">
        <v>604</v>
      </c>
      <c r="C55" s="27" t="s">
        <v>121</v>
      </c>
      <c r="D55" s="27"/>
      <c r="E55" s="27" t="s">
        <v>567</v>
      </c>
      <c r="F55" s="27"/>
      <c r="G55" s="27"/>
      <c r="H55" s="30"/>
      <c r="I55" s="27"/>
    </row>
    <row r="56" spans="1:9" ht="15" customHeight="1" x14ac:dyDescent="0.2">
      <c r="A56" s="40" t="s">
        <v>458</v>
      </c>
      <c r="B56" s="27" t="s">
        <v>605</v>
      </c>
      <c r="C56" s="27" t="s">
        <v>121</v>
      </c>
      <c r="D56" s="27"/>
      <c r="E56" s="27" t="s">
        <v>567</v>
      </c>
      <c r="F56" s="27"/>
      <c r="G56" s="27"/>
      <c r="H56" s="30"/>
      <c r="I56" s="27"/>
    </row>
    <row r="58" spans="1:9" ht="15" customHeight="1" x14ac:dyDescent="0.2">
      <c r="A58" s="42" t="s">
        <v>606</v>
      </c>
      <c r="B58" s="43"/>
      <c r="C58" s="43"/>
      <c r="D58" s="44"/>
      <c r="E58" s="37" t="s">
        <v>558</v>
      </c>
      <c r="F58" s="37" t="str">
        <f>IF(COUNTIFS(E59:E65,"Open")+COUNTIFS(E59:E65,"In Progress")=0,"PASSED","OPEN — "&amp;(COUNTIFS(E59:E65,"Open")+COUNTIFS(E59:E65,"In Progress"))&amp;" item(s)")</f>
        <v>OPEN — 7 item(s)</v>
      </c>
      <c r="G58" s="38" t="str">
        <f>COUNTIFS(E59:E65,"Complete")+COUNTIFS(E59:E65,"N/A")&amp;" / "&amp;COUNTA(B59:B65)&amp;" done"</f>
        <v>0 / 7 done</v>
      </c>
      <c r="H58" s="39"/>
      <c r="I58" s="39"/>
    </row>
    <row r="59" spans="1:9" ht="15" customHeight="1" x14ac:dyDescent="0.2">
      <c r="A59" s="40" t="s">
        <v>484</v>
      </c>
      <c r="B59" s="27" t="s">
        <v>607</v>
      </c>
      <c r="C59" s="27" t="s">
        <v>121</v>
      </c>
      <c r="D59" s="27"/>
      <c r="E59" s="27" t="s">
        <v>567</v>
      </c>
      <c r="F59" s="27"/>
      <c r="G59" s="27"/>
      <c r="H59" s="30"/>
      <c r="I59" s="27"/>
    </row>
    <row r="60" spans="1:9" ht="15" customHeight="1" x14ac:dyDescent="0.2">
      <c r="A60" s="40" t="s">
        <v>484</v>
      </c>
      <c r="B60" s="27" t="s">
        <v>608</v>
      </c>
      <c r="C60" s="27" t="s">
        <v>121</v>
      </c>
      <c r="D60" s="27"/>
      <c r="E60" s="27" t="s">
        <v>567</v>
      </c>
      <c r="F60" s="27"/>
      <c r="G60" s="27"/>
      <c r="H60" s="30"/>
      <c r="I60" s="27"/>
    </row>
    <row r="61" spans="1:9" ht="15" customHeight="1" x14ac:dyDescent="0.2">
      <c r="A61" s="40" t="s">
        <v>484</v>
      </c>
      <c r="B61" s="27" t="s">
        <v>609</v>
      </c>
      <c r="C61" s="27" t="s">
        <v>121</v>
      </c>
      <c r="D61" s="27"/>
      <c r="E61" s="27" t="s">
        <v>567</v>
      </c>
      <c r="F61" s="27"/>
      <c r="G61" s="27"/>
      <c r="H61" s="30"/>
      <c r="I61" s="27"/>
    </row>
    <row r="62" spans="1:9" ht="15" customHeight="1" x14ac:dyDescent="0.2">
      <c r="A62" s="40" t="s">
        <v>484</v>
      </c>
      <c r="B62" s="27" t="s">
        <v>610</v>
      </c>
      <c r="C62" s="27" t="s">
        <v>121</v>
      </c>
      <c r="D62" s="27"/>
      <c r="E62" s="27" t="s">
        <v>567</v>
      </c>
      <c r="F62" s="27"/>
      <c r="G62" s="27"/>
      <c r="H62" s="30"/>
      <c r="I62" s="27"/>
    </row>
    <row r="63" spans="1:9" ht="15" customHeight="1" x14ac:dyDescent="0.2">
      <c r="A63" s="40" t="s">
        <v>484</v>
      </c>
      <c r="B63" s="27" t="s">
        <v>611</v>
      </c>
      <c r="C63" s="27" t="s">
        <v>121</v>
      </c>
      <c r="D63" s="27"/>
      <c r="E63" s="27" t="s">
        <v>567</v>
      </c>
      <c r="F63" s="27"/>
      <c r="G63" s="27"/>
      <c r="H63" s="30"/>
      <c r="I63" s="27"/>
    </row>
    <row r="64" spans="1:9" ht="15" customHeight="1" x14ac:dyDescent="0.2">
      <c r="A64" s="40" t="s">
        <v>484</v>
      </c>
      <c r="B64" s="27" t="s">
        <v>612</v>
      </c>
      <c r="C64" s="27" t="s">
        <v>121</v>
      </c>
      <c r="D64" s="27"/>
      <c r="E64" s="27" t="s">
        <v>567</v>
      </c>
      <c r="F64" s="27"/>
      <c r="G64" s="27"/>
      <c r="H64" s="30"/>
      <c r="I64" s="27"/>
    </row>
    <row r="65" spans="1:9" ht="15" customHeight="1" x14ac:dyDescent="0.2">
      <c r="A65" s="40" t="s">
        <v>484</v>
      </c>
      <c r="B65" s="27" t="s">
        <v>613</v>
      </c>
      <c r="C65" s="27" t="s">
        <v>121</v>
      </c>
      <c r="D65" s="27"/>
      <c r="E65" s="27" t="s">
        <v>567</v>
      </c>
      <c r="F65" s="27"/>
      <c r="G65" s="27"/>
      <c r="H65" s="30"/>
      <c r="I65" s="27"/>
    </row>
    <row r="67" spans="1:9" ht="15" customHeight="1" x14ac:dyDescent="0.2">
      <c r="A67" s="42" t="s">
        <v>614</v>
      </c>
      <c r="B67" s="43"/>
      <c r="C67" s="43"/>
      <c r="D67" s="44"/>
      <c r="E67" s="37" t="s">
        <v>558</v>
      </c>
      <c r="F67" s="37" t="str">
        <f>IF(COUNTIFS(E68:E74,"Open")+COUNTIFS(E68:E74,"In Progress")=0,"PASSED","OPEN — "&amp;(COUNTIFS(E68:E74,"Open")+COUNTIFS(E68:E74,"In Progress"))&amp;" item(s)")</f>
        <v>OPEN — 7 item(s)</v>
      </c>
      <c r="G67" s="38" t="str">
        <f>COUNTIFS(E68:E74,"Complete")+COUNTIFS(E68:E74,"N/A")&amp;" / "&amp;COUNTA(B68:B74)&amp;" done"</f>
        <v>0 / 7 done</v>
      </c>
      <c r="H67" s="39"/>
      <c r="I67" s="39"/>
    </row>
    <row r="68" spans="1:9" ht="15" customHeight="1" x14ac:dyDescent="0.2">
      <c r="A68" s="40" t="s">
        <v>519</v>
      </c>
      <c r="B68" s="27" t="s">
        <v>615</v>
      </c>
      <c r="C68" s="27" t="s">
        <v>121</v>
      </c>
      <c r="D68" s="27"/>
      <c r="E68" s="27" t="s">
        <v>567</v>
      </c>
      <c r="F68" s="27"/>
      <c r="G68" s="27"/>
      <c r="H68" s="30"/>
      <c r="I68" s="27"/>
    </row>
    <row r="69" spans="1:9" ht="15" customHeight="1" x14ac:dyDescent="0.2">
      <c r="A69" s="40" t="s">
        <v>519</v>
      </c>
      <c r="B69" s="27" t="s">
        <v>616</v>
      </c>
      <c r="C69" s="27" t="s">
        <v>121</v>
      </c>
      <c r="D69" s="27"/>
      <c r="E69" s="27" t="s">
        <v>567</v>
      </c>
      <c r="F69" s="27"/>
      <c r="G69" s="27"/>
      <c r="H69" s="30"/>
      <c r="I69" s="27"/>
    </row>
    <row r="70" spans="1:9" ht="15" customHeight="1" x14ac:dyDescent="0.2">
      <c r="A70" s="40" t="s">
        <v>519</v>
      </c>
      <c r="B70" s="27" t="s">
        <v>617</v>
      </c>
      <c r="C70" s="27" t="s">
        <v>121</v>
      </c>
      <c r="D70" s="27"/>
      <c r="E70" s="27" t="s">
        <v>567</v>
      </c>
      <c r="F70" s="27"/>
      <c r="G70" s="27"/>
      <c r="H70" s="30"/>
      <c r="I70" s="27"/>
    </row>
    <row r="71" spans="1:9" ht="15" customHeight="1" x14ac:dyDescent="0.2">
      <c r="A71" s="40" t="s">
        <v>519</v>
      </c>
      <c r="B71" s="27" t="s">
        <v>618</v>
      </c>
      <c r="C71" s="27" t="s">
        <v>121</v>
      </c>
      <c r="D71" s="27"/>
      <c r="E71" s="27" t="s">
        <v>567</v>
      </c>
      <c r="F71" s="27"/>
      <c r="G71" s="27"/>
      <c r="H71" s="30"/>
      <c r="I71" s="27"/>
    </row>
    <row r="72" spans="1:9" ht="15" customHeight="1" x14ac:dyDescent="0.2">
      <c r="A72" s="40" t="s">
        <v>519</v>
      </c>
      <c r="B72" s="27" t="s">
        <v>619</v>
      </c>
      <c r="C72" s="27" t="s">
        <v>121</v>
      </c>
      <c r="D72" s="27"/>
      <c r="E72" s="27" t="s">
        <v>567</v>
      </c>
      <c r="F72" s="27"/>
      <c r="G72" s="27"/>
      <c r="H72" s="30"/>
      <c r="I72" s="27"/>
    </row>
    <row r="73" spans="1:9" ht="15" customHeight="1" x14ac:dyDescent="0.2">
      <c r="A73" s="40" t="s">
        <v>519</v>
      </c>
      <c r="B73" s="27" t="s">
        <v>620</v>
      </c>
      <c r="C73" s="27" t="s">
        <v>121</v>
      </c>
      <c r="D73" s="27"/>
      <c r="E73" s="27" t="s">
        <v>567</v>
      </c>
      <c r="F73" s="27"/>
      <c r="G73" s="27"/>
      <c r="H73" s="30"/>
      <c r="I73" s="27"/>
    </row>
    <row r="74" spans="1:9" ht="15" customHeight="1" x14ac:dyDescent="0.2">
      <c r="A74" s="40" t="s">
        <v>519</v>
      </c>
      <c r="B74" s="27" t="s">
        <v>621</v>
      </c>
      <c r="C74" s="27" t="s">
        <v>121</v>
      </c>
      <c r="D74" s="27"/>
      <c r="E74" s="27" t="s">
        <v>567</v>
      </c>
      <c r="F74" s="27"/>
      <c r="G74" s="27"/>
      <c r="H74" s="30"/>
      <c r="I74" s="27"/>
    </row>
  </sheetData>
  <mergeCells count="8">
    <mergeCell ref="A5:D5"/>
    <mergeCell ref="A67:D67"/>
    <mergeCell ref="A58:D58"/>
    <mergeCell ref="A34:D34"/>
    <mergeCell ref="A24:D24"/>
    <mergeCell ref="A51:D51"/>
    <mergeCell ref="A42:D42"/>
    <mergeCell ref="A13:D13"/>
  </mergeCells>
  <conditionalFormatting sqref="E5:E200">
    <cfRule type="cellIs" dxfId="6" priority="2" operator="equal">
      <formula>"Complete"</formula>
    </cfRule>
    <cfRule type="cellIs" dxfId="5" priority="3" operator="equal">
      <formula>"Open"</formula>
    </cfRule>
  </conditionalFormatting>
  <conditionalFormatting sqref="F5:F200">
    <cfRule type="expression" dxfId="4" priority="4">
      <formula>LEFT(F5,6)="PASSED"</formula>
    </cfRule>
    <cfRule type="expression" dxfId="3" priority="5">
      <formula>LEFT(F5,4)="OPEN"</formula>
    </cfRule>
  </conditionalFormatting>
  <dataValidations count="1">
    <dataValidation type="list" allowBlank="1" sqref="E6:E11 E14:E22 E25:E32 E35:E40 E43:E49 E52:E56 E59:E65 E68:E74" xr:uid="{00000000-0002-0000-0600-000000000000}">
      <formula1>"Open,In Progress,Complete,N/A"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Stakeholders!$A$5:$A$44</xm:f>
          </x14:formula1>
          <x14:formula2>
            <xm:f>0</xm:f>
          </x14:formula2>
          <xm:sqref>C6:C11 C14:C22 C25:C32 C35:C40 C43:C49 C52:C56 C59:C65 C68:C74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"/>
    </sheetView>
  </sheetViews>
  <sheetFormatPr baseColWidth="10" defaultColWidth="8.6640625" defaultRowHeight="15" x14ac:dyDescent="0.2"/>
  <cols>
    <col min="1" max="1" width="9" customWidth="1"/>
    <col min="2" max="2" width="13" customWidth="1"/>
    <col min="3" max="3" width="50" customWidth="1"/>
    <col min="4" max="4" width="11" customWidth="1"/>
    <col min="5" max="5" width="20" customWidth="1"/>
    <col min="6" max="8" width="11" customWidth="1"/>
    <col min="9" max="9" width="10" customWidth="1"/>
    <col min="10" max="10" width="8" customWidth="1"/>
    <col min="11" max="11" width="10" customWidth="1"/>
    <col min="12" max="12" width="45" customWidth="1"/>
    <col min="13" max="13" width="11" customWidth="1"/>
    <col min="14" max="14" width="12" customWidth="1"/>
    <col min="15" max="15" width="10" customWidth="1"/>
    <col min="16" max="16" width="16" customWidth="1"/>
    <col min="17" max="17" width="12" customWidth="1"/>
  </cols>
  <sheetData>
    <row r="1" spans="1:17" ht="19.75" customHeight="1" x14ac:dyDescent="0.2">
      <c r="A1" s="26" t="s">
        <v>622</v>
      </c>
    </row>
    <row r="2" spans="1:17" ht="15" customHeight="1" x14ac:dyDescent="0.2">
      <c r="A2" s="10" t="s">
        <v>623</v>
      </c>
    </row>
    <row r="4" spans="1:17" ht="31.5" customHeight="1" x14ac:dyDescent="0.2">
      <c r="A4" s="15" t="s">
        <v>624</v>
      </c>
      <c r="B4" s="15" t="s">
        <v>625</v>
      </c>
      <c r="C4" s="15" t="s">
        <v>626</v>
      </c>
      <c r="D4" s="15" t="s">
        <v>627</v>
      </c>
      <c r="E4" s="15" t="s">
        <v>80</v>
      </c>
      <c r="F4" s="15" t="s">
        <v>552</v>
      </c>
      <c r="G4" s="15" t="s">
        <v>628</v>
      </c>
      <c r="H4" s="15" t="s">
        <v>629</v>
      </c>
      <c r="I4" s="15" t="s">
        <v>630</v>
      </c>
      <c r="J4" s="15" t="s">
        <v>631</v>
      </c>
      <c r="K4" s="15" t="s">
        <v>632</v>
      </c>
      <c r="L4" s="15" t="s">
        <v>633</v>
      </c>
      <c r="M4" s="15" t="s">
        <v>634</v>
      </c>
      <c r="N4" s="15" t="s">
        <v>213</v>
      </c>
      <c r="O4" s="15" t="s">
        <v>253</v>
      </c>
      <c r="P4" s="15" t="s">
        <v>635</v>
      </c>
      <c r="Q4" s="15" t="s">
        <v>255</v>
      </c>
    </row>
    <row r="5" spans="1:17" ht="35" customHeight="1" x14ac:dyDescent="0.2">
      <c r="A5" s="20" t="s">
        <v>636</v>
      </c>
      <c r="B5" s="27" t="s">
        <v>637</v>
      </c>
      <c r="C5" s="27" t="s">
        <v>638</v>
      </c>
      <c r="D5" s="27" t="s">
        <v>356</v>
      </c>
      <c r="E5" s="27" t="s">
        <v>81</v>
      </c>
      <c r="F5" s="27" t="s">
        <v>143</v>
      </c>
      <c r="G5" s="30">
        <v>46328</v>
      </c>
      <c r="H5" s="27">
        <v>3</v>
      </c>
      <c r="I5" s="27">
        <v>5</v>
      </c>
      <c r="J5" s="20">
        <f t="shared" ref="J5:J11" si="0">IF(OR(H5="",I5=""),"",H5*I5)</f>
        <v>15</v>
      </c>
      <c r="K5" s="20" t="str">
        <f t="shared" ref="K5:K11" si="1">IF(J5="","",IF(J5&gt;=15,"High",IF(J5&gt;=8,"Medium","Low")))</f>
        <v>High</v>
      </c>
      <c r="L5" s="27" t="s">
        <v>639</v>
      </c>
      <c r="M5" s="30">
        <v>46384</v>
      </c>
      <c r="N5" s="27" t="s">
        <v>567</v>
      </c>
      <c r="O5" s="20">
        <f t="shared" ref="O5:O11" ca="1" si="2">IF(OR(N5="Closed",N5="Mitigated",N5="Accepted",M5=""),0,MAX(0,TODAY()-M5))</f>
        <v>0</v>
      </c>
      <c r="P5" s="27" t="s">
        <v>640</v>
      </c>
      <c r="Q5" s="30">
        <v>46321</v>
      </c>
    </row>
    <row r="6" spans="1:17" ht="23.75" customHeight="1" x14ac:dyDescent="0.2">
      <c r="A6" s="20" t="s">
        <v>641</v>
      </c>
      <c r="B6" s="27" t="s">
        <v>637</v>
      </c>
      <c r="C6" s="27" t="s">
        <v>642</v>
      </c>
      <c r="D6" s="27" t="s">
        <v>292</v>
      </c>
      <c r="E6" s="27" t="s">
        <v>91</v>
      </c>
      <c r="F6" s="27" t="s">
        <v>129</v>
      </c>
      <c r="G6" s="30">
        <v>46335</v>
      </c>
      <c r="H6" s="27">
        <v>2</v>
      </c>
      <c r="I6" s="27">
        <v>4</v>
      </c>
      <c r="J6" s="20">
        <f t="shared" si="0"/>
        <v>8</v>
      </c>
      <c r="K6" s="20" t="str">
        <f t="shared" si="1"/>
        <v>Medium</v>
      </c>
      <c r="L6" s="27" t="s">
        <v>643</v>
      </c>
      <c r="M6" s="30">
        <v>46356</v>
      </c>
      <c r="N6" s="27" t="s">
        <v>567</v>
      </c>
      <c r="O6" s="20">
        <f t="shared" ca="1" si="2"/>
        <v>0</v>
      </c>
      <c r="P6" s="27" t="s">
        <v>644</v>
      </c>
      <c r="Q6" s="30">
        <v>46321</v>
      </c>
    </row>
    <row r="7" spans="1:17" ht="23.75" customHeight="1" x14ac:dyDescent="0.2">
      <c r="A7" s="20" t="s">
        <v>645</v>
      </c>
      <c r="B7" s="27" t="s">
        <v>646</v>
      </c>
      <c r="C7" s="27" t="s">
        <v>647</v>
      </c>
      <c r="D7" s="27" t="s">
        <v>308</v>
      </c>
      <c r="E7" s="27" t="s">
        <v>87</v>
      </c>
      <c r="F7" s="27" t="s">
        <v>148</v>
      </c>
      <c r="G7" s="30">
        <v>46342</v>
      </c>
      <c r="H7" s="27">
        <v>2</v>
      </c>
      <c r="I7" s="27">
        <v>3</v>
      </c>
      <c r="J7" s="20">
        <f t="shared" si="0"/>
        <v>6</v>
      </c>
      <c r="K7" s="20" t="str">
        <f t="shared" si="1"/>
        <v>Low</v>
      </c>
      <c r="L7" s="27" t="s">
        <v>648</v>
      </c>
      <c r="M7" s="30">
        <v>46363</v>
      </c>
      <c r="N7" s="27" t="s">
        <v>567</v>
      </c>
      <c r="O7" s="20">
        <f t="shared" ca="1" si="2"/>
        <v>0</v>
      </c>
      <c r="P7" s="27" t="s">
        <v>649</v>
      </c>
      <c r="Q7" s="30">
        <v>46321</v>
      </c>
    </row>
    <row r="8" spans="1:17" ht="23.75" customHeight="1" x14ac:dyDescent="0.2">
      <c r="A8" s="20" t="s">
        <v>650</v>
      </c>
      <c r="B8" s="27" t="s">
        <v>651</v>
      </c>
      <c r="C8" s="27" t="s">
        <v>652</v>
      </c>
      <c r="D8" s="27" t="s">
        <v>421</v>
      </c>
      <c r="E8" s="27" t="s">
        <v>93</v>
      </c>
      <c r="F8" s="27" t="s">
        <v>156</v>
      </c>
      <c r="G8" s="30">
        <v>46356</v>
      </c>
      <c r="H8" s="27">
        <v>3</v>
      </c>
      <c r="I8" s="27">
        <v>4</v>
      </c>
      <c r="J8" s="20">
        <f t="shared" si="0"/>
        <v>12</v>
      </c>
      <c r="K8" s="20" t="str">
        <f t="shared" si="1"/>
        <v>Medium</v>
      </c>
      <c r="L8" s="27" t="s">
        <v>653</v>
      </c>
      <c r="M8" s="30">
        <v>46482</v>
      </c>
      <c r="N8" s="27" t="s">
        <v>567</v>
      </c>
      <c r="O8" s="20">
        <f t="shared" ca="1" si="2"/>
        <v>0</v>
      </c>
      <c r="P8" s="27" t="s">
        <v>654</v>
      </c>
      <c r="Q8" s="30">
        <v>46321</v>
      </c>
    </row>
    <row r="9" spans="1:17" ht="23.75" customHeight="1" x14ac:dyDescent="0.2">
      <c r="A9" s="20" t="s">
        <v>655</v>
      </c>
      <c r="B9" s="27" t="s">
        <v>656</v>
      </c>
      <c r="C9" s="27" t="s">
        <v>657</v>
      </c>
      <c r="D9" s="27" t="s">
        <v>317</v>
      </c>
      <c r="E9" s="27" t="s">
        <v>86</v>
      </c>
      <c r="F9" s="27" t="s">
        <v>193</v>
      </c>
      <c r="G9" s="30">
        <v>46349</v>
      </c>
      <c r="H9" s="27">
        <v>5</v>
      </c>
      <c r="I9" s="27">
        <v>3</v>
      </c>
      <c r="J9" s="20">
        <f t="shared" si="0"/>
        <v>15</v>
      </c>
      <c r="K9" s="20" t="str">
        <f t="shared" si="1"/>
        <v>High</v>
      </c>
      <c r="L9" s="27" t="s">
        <v>658</v>
      </c>
      <c r="M9" s="30">
        <v>46363</v>
      </c>
      <c r="N9" s="27" t="s">
        <v>64</v>
      </c>
      <c r="O9" s="20">
        <f t="shared" ca="1" si="2"/>
        <v>0</v>
      </c>
      <c r="P9" s="27" t="s">
        <v>659</v>
      </c>
      <c r="Q9" s="30">
        <v>46321</v>
      </c>
    </row>
    <row r="10" spans="1:17" ht="23.75" customHeight="1" x14ac:dyDescent="0.2">
      <c r="A10" s="20" t="s">
        <v>660</v>
      </c>
      <c r="B10" s="27" t="s">
        <v>637</v>
      </c>
      <c r="C10" s="27" t="s">
        <v>661</v>
      </c>
      <c r="D10" s="27" t="s">
        <v>463</v>
      </c>
      <c r="E10" s="27" t="s">
        <v>88</v>
      </c>
      <c r="F10" s="27" t="s">
        <v>160</v>
      </c>
      <c r="G10" s="30">
        <v>46342</v>
      </c>
      <c r="H10" s="27">
        <v>3</v>
      </c>
      <c r="I10" s="27">
        <v>4</v>
      </c>
      <c r="J10" s="20">
        <f t="shared" si="0"/>
        <v>12</v>
      </c>
      <c r="K10" s="20" t="str">
        <f t="shared" si="1"/>
        <v>Medium</v>
      </c>
      <c r="L10" s="27" t="s">
        <v>662</v>
      </c>
      <c r="M10" s="30">
        <v>46510</v>
      </c>
      <c r="N10" s="27" t="s">
        <v>567</v>
      </c>
      <c r="O10" s="20">
        <f t="shared" ca="1" si="2"/>
        <v>0</v>
      </c>
      <c r="P10" s="27" t="s">
        <v>663</v>
      </c>
      <c r="Q10" s="30">
        <v>46321</v>
      </c>
    </row>
    <row r="11" spans="1:17" ht="23.75" customHeight="1" x14ac:dyDescent="0.2">
      <c r="A11" s="20" t="s">
        <v>664</v>
      </c>
      <c r="B11" s="27" t="s">
        <v>651</v>
      </c>
      <c r="C11" s="27" t="s">
        <v>665</v>
      </c>
      <c r="D11" s="27" t="s">
        <v>444</v>
      </c>
      <c r="E11" s="27" t="s">
        <v>94</v>
      </c>
      <c r="F11" s="27" t="s">
        <v>165</v>
      </c>
      <c r="G11" s="30">
        <v>46363</v>
      </c>
      <c r="H11" s="27">
        <v>2</v>
      </c>
      <c r="I11" s="27">
        <v>3</v>
      </c>
      <c r="J11" s="20">
        <f t="shared" si="0"/>
        <v>6</v>
      </c>
      <c r="K11" s="20" t="str">
        <f t="shared" si="1"/>
        <v>Low</v>
      </c>
      <c r="L11" s="27" t="s">
        <v>666</v>
      </c>
      <c r="M11" s="30">
        <v>46552</v>
      </c>
      <c r="N11" s="27" t="s">
        <v>567</v>
      </c>
      <c r="O11" s="20">
        <f t="shared" ca="1" si="2"/>
        <v>0</v>
      </c>
      <c r="P11" s="27" t="s">
        <v>667</v>
      </c>
      <c r="Q11" s="30">
        <v>46321</v>
      </c>
    </row>
  </sheetData>
  <autoFilter ref="A4:Q11" xr:uid="{00000000-0009-0000-0000-000007000000}"/>
  <conditionalFormatting sqref="K5:K200"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dataValidations count="3">
    <dataValidation type="list" sqref="B5:B11" xr:uid="{00000000-0002-0000-0700-000000000000}">
      <formula1>"R,A,I,D"</formula1>
      <formula2>0</formula2>
    </dataValidation>
    <dataValidation type="list" sqref="N5:N204" xr:uid="{00000000-0002-0000-0700-000001000000}">
      <formula1>"Open,In Progress,Mitigated,Closed,Accepted"</formula1>
      <formula2>0</formula2>
    </dataValidation>
    <dataValidation type="whole" sqref="H5:I204" xr:uid="{00000000-0002-0000-0700-000003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2000000}">
          <x14:formula1>
            <xm:f>Stakeholders!$A$5:$A$44</xm:f>
          </x14:formula1>
          <x14:formula2>
            <xm:f>0</xm:f>
          </x14:formula2>
          <xm:sqref>F5:F204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9" customWidth="1"/>
    <col min="2" max="2" width="55" customWidth="1"/>
    <col min="3" max="3" width="24" customWidth="1"/>
    <col min="4" max="6" width="11" customWidth="1"/>
    <col min="7" max="7" width="12" customWidth="1"/>
    <col min="8" max="8" width="10" customWidth="1"/>
    <col min="9" max="9" width="11" customWidth="1"/>
    <col min="10" max="10" width="30" customWidth="1"/>
  </cols>
  <sheetData>
    <row r="1" spans="1:10" ht="19.75" customHeight="1" x14ac:dyDescent="0.2">
      <c r="A1" s="26" t="s">
        <v>668</v>
      </c>
    </row>
    <row r="4" spans="1:10" ht="31.5" customHeight="1" x14ac:dyDescent="0.2">
      <c r="A4" s="15" t="s">
        <v>669</v>
      </c>
      <c r="B4" s="15" t="s">
        <v>670</v>
      </c>
      <c r="C4" s="15" t="s">
        <v>671</v>
      </c>
      <c r="D4" s="15" t="s">
        <v>552</v>
      </c>
      <c r="E4" s="15" t="s">
        <v>627</v>
      </c>
      <c r="F4" s="15" t="s">
        <v>634</v>
      </c>
      <c r="G4" s="15" t="s">
        <v>213</v>
      </c>
      <c r="H4" s="15" t="s">
        <v>253</v>
      </c>
      <c r="I4" s="15" t="s">
        <v>672</v>
      </c>
      <c r="J4" s="15" t="s">
        <v>256</v>
      </c>
    </row>
    <row r="5" spans="1:10" ht="15" customHeight="1" x14ac:dyDescent="0.2">
      <c r="A5" s="41" t="s">
        <v>673</v>
      </c>
      <c r="B5" s="27" t="s">
        <v>674</v>
      </c>
      <c r="C5" s="27" t="s">
        <v>675</v>
      </c>
      <c r="D5" s="27" t="s">
        <v>169</v>
      </c>
      <c r="E5" s="27" t="s">
        <v>356</v>
      </c>
      <c r="F5" s="30">
        <v>46328</v>
      </c>
      <c r="G5" s="27" t="s">
        <v>567</v>
      </c>
      <c r="H5" s="41">
        <f ca="1">IF(OR(G5="Complete",G5="Cancelled",F5=""),0,MAX(0,TODAY()-F5))</f>
        <v>0</v>
      </c>
      <c r="I5" s="30"/>
      <c r="J5" s="27"/>
    </row>
    <row r="6" spans="1:10" ht="15" customHeight="1" x14ac:dyDescent="0.2">
      <c r="A6" s="41" t="s">
        <v>676</v>
      </c>
      <c r="B6" s="27" t="s">
        <v>677</v>
      </c>
      <c r="C6" s="27" t="s">
        <v>678</v>
      </c>
      <c r="D6" s="27" t="s">
        <v>193</v>
      </c>
      <c r="E6" s="27" t="s">
        <v>317</v>
      </c>
      <c r="F6" s="30">
        <v>46324</v>
      </c>
      <c r="G6" s="27" t="s">
        <v>64</v>
      </c>
      <c r="H6" s="41">
        <f ca="1">IF(OR(G6="Complete",G6="Cancelled",F6=""),0,MAX(0,TODAY()-F6))</f>
        <v>0</v>
      </c>
      <c r="I6" s="30"/>
      <c r="J6" s="27"/>
    </row>
    <row r="7" spans="1:10" ht="23.75" customHeight="1" x14ac:dyDescent="0.2">
      <c r="A7" s="41" t="s">
        <v>645</v>
      </c>
      <c r="B7" s="27" t="s">
        <v>679</v>
      </c>
      <c r="C7" s="27" t="s">
        <v>680</v>
      </c>
      <c r="D7" s="27" t="s">
        <v>129</v>
      </c>
      <c r="E7" s="27" t="s">
        <v>292</v>
      </c>
      <c r="F7" s="30">
        <v>46325</v>
      </c>
      <c r="G7" s="27" t="s">
        <v>53</v>
      </c>
      <c r="H7" s="41">
        <f ca="1">IF(OR(G7="Complete",G7="Cancelled",F7=""),0,MAX(0,TODAY()-F7))</f>
        <v>0</v>
      </c>
      <c r="I7" s="30">
        <v>46323</v>
      </c>
      <c r="J7" s="27"/>
    </row>
  </sheetData>
  <autoFilter ref="A4:J7" xr:uid="{00000000-0009-0000-0000-000008000000}"/>
  <dataValidations count="1">
    <dataValidation type="list" sqref="G5:G204" xr:uid="{00000000-0002-0000-0800-000000000000}">
      <formula1>"Open,In Progress,Complete,Cancelled"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1000000}">
          <x14:formula1>
            <xm:f>Stakeholders!$A$5:$A$44</xm:f>
          </x14:formula1>
          <x14:formula2>
            <xm:f>0</xm:f>
          </x14:formula2>
          <xm:sqref>D5:D204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Dashboard</vt:lpstr>
      <vt:lpstr>Stakeholders</vt:lpstr>
      <vt:lpstr>Objectives</vt:lpstr>
      <vt:lpstr>Master Plan</vt:lpstr>
      <vt:lpstr>RACI Matrix</vt:lpstr>
      <vt:lpstr>Gate Checklists</vt:lpstr>
      <vt:lpstr>RAID Log</vt:lpstr>
      <vt:lpstr>Action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Murugesapandian Thangaraj</cp:lastModifiedBy>
  <cp:revision>0</cp:revision>
  <dcterms:created xsi:type="dcterms:W3CDTF">2026-09-10T03:28:31Z</dcterms:created>
  <dcterms:modified xsi:type="dcterms:W3CDTF">2026-09-11T19:18:58Z</dcterms:modified>
  <dc:language>en-US</dc:language>
</cp:coreProperties>
</file>